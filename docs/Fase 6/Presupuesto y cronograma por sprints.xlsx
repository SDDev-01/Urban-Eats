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ebas\Desktop\ur\Urban-Eats\docs\Fase 6\"/>
    </mc:Choice>
  </mc:AlternateContent>
  <xr:revisionPtr revIDLastSave="0" documentId="13_ncr:1_{7E7621DC-1A93-43BB-8789-D4675C8FD39D}" xr6:coauthVersionLast="47" xr6:coauthVersionMax="47" xr10:uidLastSave="{00000000-0000-0000-0000-000000000000}"/>
  <bookViews>
    <workbookView xWindow="24" yWindow="0" windowWidth="23016" windowHeight="12360" xr2:uid="{00000000-000D-0000-FFFF-FFFF00000000}"/>
  </bookViews>
  <sheets>
    <sheet name="Supuestos" sheetId="1" r:id="rId1"/>
    <sheet name="Resumen" sheetId="2" r:id="rId2"/>
    <sheet name="Cronograma" sheetId="3" r:id="rId3"/>
    <sheet name="Talento humano" sheetId="4" r:id="rId4"/>
    <sheet name="Hardware" sheetId="5" r:id="rId5"/>
    <sheet name="Software y licencias" sheetId="6" r:id="rId6"/>
    <sheet name="Servic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7" l="1"/>
  <c r="E9" i="7"/>
  <c r="H9" i="7" s="1"/>
  <c r="E8" i="7"/>
  <c r="H8" i="7" s="1"/>
  <c r="E7" i="7"/>
  <c r="H7" i="7" s="1"/>
  <c r="E6" i="7"/>
  <c r="H6" i="7" s="1"/>
  <c r="E5" i="7"/>
  <c r="H5" i="7" s="1"/>
  <c r="G14" i="6"/>
  <c r="E14" i="6"/>
  <c r="E13" i="6"/>
  <c r="G13" i="6" s="1"/>
  <c r="E12" i="6"/>
  <c r="G12" i="6" s="1"/>
  <c r="E11" i="6"/>
  <c r="G11" i="6" s="1"/>
  <c r="G10" i="6"/>
  <c r="E10" i="6"/>
  <c r="E9" i="6"/>
  <c r="G9" i="6" s="1"/>
  <c r="E8" i="6"/>
  <c r="G8" i="6" s="1"/>
  <c r="E7" i="6"/>
  <c r="G7" i="6" s="1"/>
  <c r="E6" i="6"/>
  <c r="G6" i="6" s="1"/>
  <c r="E5" i="6"/>
  <c r="G5" i="6" s="1"/>
  <c r="D7" i="5"/>
  <c r="E7" i="5" s="1"/>
  <c r="E6" i="5"/>
  <c r="D6" i="5"/>
  <c r="D8" i="5" s="1"/>
  <c r="D5" i="5"/>
  <c r="E5" i="5" s="1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D6" i="4"/>
  <c r="C6" i="4"/>
  <c r="B6" i="4"/>
  <c r="A6" i="4"/>
  <c r="D5" i="4"/>
  <c r="C5" i="4"/>
  <c r="B5" i="4"/>
  <c r="A5" i="4"/>
  <c r="H20" i="3"/>
  <c r="H19" i="3"/>
  <c r="H18" i="3"/>
  <c r="H17" i="3"/>
  <c r="H16" i="3"/>
  <c r="D16" i="3"/>
  <c r="H15" i="3"/>
  <c r="I15" i="3" s="1"/>
  <c r="F15" i="3"/>
  <c r="E15" i="3"/>
  <c r="H14" i="3"/>
  <c r="F14" i="3"/>
  <c r="E14" i="4" s="1"/>
  <c r="H13" i="3"/>
  <c r="F13" i="3"/>
  <c r="E13" i="4" s="1"/>
  <c r="H12" i="3"/>
  <c r="F12" i="3"/>
  <c r="H11" i="3"/>
  <c r="F11" i="3"/>
  <c r="E11" i="4" s="1"/>
  <c r="H10" i="3"/>
  <c r="F10" i="3"/>
  <c r="E10" i="4" s="1"/>
  <c r="H9" i="3"/>
  <c r="F9" i="3"/>
  <c r="I9" i="3" s="1"/>
  <c r="H8" i="3"/>
  <c r="F8" i="3"/>
  <c r="H7" i="3"/>
  <c r="F7" i="3"/>
  <c r="E7" i="4" s="1"/>
  <c r="I6" i="3"/>
  <c r="H6" i="3"/>
  <c r="F6" i="3"/>
  <c r="E6" i="4" s="1"/>
  <c r="H5" i="3"/>
  <c r="F5" i="3"/>
  <c r="E5" i="4" s="1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D15" i="2"/>
  <c r="C15" i="2"/>
  <c r="B15" i="2"/>
  <c r="A15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B37" i="1"/>
  <c r="E10" i="7" s="1"/>
  <c r="H10" i="7" s="1"/>
  <c r="B22" i="1"/>
  <c r="B23" i="1" s="1"/>
  <c r="B9" i="1"/>
  <c r="B10" i="1" s="1"/>
  <c r="B24" i="1" l="1"/>
  <c r="F7" i="4"/>
  <c r="F11" i="4"/>
  <c r="F13" i="4"/>
  <c r="I10" i="3"/>
  <c r="D10" i="2"/>
  <c r="D14" i="2"/>
  <c r="I14" i="3"/>
  <c r="I7" i="3"/>
  <c r="E8" i="4"/>
  <c r="I12" i="3"/>
  <c r="E15" i="4"/>
  <c r="G20" i="4"/>
  <c r="G19" i="4"/>
  <c r="G18" i="4"/>
  <c r="G17" i="4"/>
  <c r="G16" i="4"/>
  <c r="G15" i="4"/>
  <c r="G14" i="4"/>
  <c r="G13" i="4"/>
  <c r="H13" i="4" s="1"/>
  <c r="E13" i="2" s="1"/>
  <c r="G12" i="4"/>
  <c r="G11" i="4"/>
  <c r="G10" i="4"/>
  <c r="G9" i="4"/>
  <c r="G8" i="4"/>
  <c r="G7" i="4"/>
  <c r="H7" i="4" s="1"/>
  <c r="E7" i="2" s="1"/>
  <c r="G6" i="4"/>
  <c r="G5" i="4"/>
  <c r="F5" i="4"/>
  <c r="H11" i="4"/>
  <c r="E11" i="2" s="1"/>
  <c r="F15" i="4"/>
  <c r="H15" i="4" s="1"/>
  <c r="E15" i="2" s="1"/>
  <c r="G15" i="6"/>
  <c r="F6" i="4"/>
  <c r="F8" i="4"/>
  <c r="H8" i="4" s="1"/>
  <c r="E8" i="2" s="1"/>
  <c r="F10" i="4"/>
  <c r="F14" i="4"/>
  <c r="H14" i="4" s="1"/>
  <c r="E14" i="2" s="1"/>
  <c r="E8" i="5"/>
  <c r="E10" i="5" s="1"/>
  <c r="I5" i="3"/>
  <c r="I13" i="3"/>
  <c r="I8" i="3"/>
  <c r="E16" i="3"/>
  <c r="I11" i="3"/>
  <c r="E9" i="4"/>
  <c r="F9" i="4" s="1"/>
  <c r="H9" i="4" s="1"/>
  <c r="E9" i="2" s="1"/>
  <c r="E12" i="4"/>
  <c r="F12" i="4" s="1"/>
  <c r="H12" i="4" s="1"/>
  <c r="E12" i="2" s="1"/>
  <c r="H10" i="4" l="1"/>
  <c r="E10" i="2" s="1"/>
  <c r="H6" i="4"/>
  <c r="E6" i="2" s="1"/>
  <c r="D17" i="3"/>
  <c r="F16" i="3"/>
  <c r="F14" i="2"/>
  <c r="F12" i="2"/>
  <c r="F10" i="2"/>
  <c r="F8" i="2"/>
  <c r="F6" i="2"/>
  <c r="F15" i="2"/>
  <c r="F13" i="2"/>
  <c r="F11" i="2"/>
  <c r="F9" i="2"/>
  <c r="F7" i="2"/>
  <c r="F5" i="2"/>
  <c r="H5" i="4"/>
  <c r="E5" i="2" l="1"/>
  <c r="I16" i="3"/>
  <c r="E16" i="4"/>
  <c r="F16" i="4" s="1"/>
  <c r="D16" i="2"/>
  <c r="E17" i="3"/>
  <c r="F24" i="2"/>
  <c r="D18" i="3" l="1"/>
  <c r="F17" i="3"/>
  <c r="E24" i="2"/>
  <c r="F16" i="2"/>
  <c r="H16" i="4"/>
  <c r="E18" i="3" l="1"/>
  <c r="E16" i="2"/>
  <c r="D17" i="2"/>
  <c r="E17" i="4"/>
  <c r="F17" i="4" s="1"/>
  <c r="I17" i="3"/>
  <c r="F17" i="2" l="1"/>
  <c r="H17" i="4"/>
  <c r="F18" i="3"/>
  <c r="D19" i="3"/>
  <c r="E17" i="2" l="1"/>
  <c r="E19" i="3"/>
  <c r="E18" i="4"/>
  <c r="F18" i="4" s="1"/>
  <c r="D18" i="2"/>
  <c r="I18" i="3"/>
  <c r="H18" i="4" l="1"/>
  <c r="F18" i="2"/>
  <c r="D20" i="3"/>
  <c r="F19" i="3"/>
  <c r="E20" i="3" l="1"/>
  <c r="D21" i="3"/>
  <c r="E18" i="2"/>
  <c r="E19" i="4"/>
  <c r="F19" i="4" s="1"/>
  <c r="I19" i="3"/>
  <c r="D19" i="2"/>
  <c r="F19" i="2" l="1"/>
  <c r="H19" i="4"/>
  <c r="F20" i="3"/>
  <c r="E21" i="3"/>
  <c r="E20" i="4" l="1"/>
  <c r="F20" i="4" s="1"/>
  <c r="D20" i="2"/>
  <c r="I20" i="3"/>
  <c r="I21" i="3" s="1"/>
  <c r="F23" i="3"/>
  <c r="F21" i="3"/>
  <c r="E19" i="2"/>
  <c r="H20" i="4" l="1"/>
  <c r="F21" i="4"/>
  <c r="F20" i="2"/>
  <c r="G20" i="2"/>
  <c r="D21" i="2"/>
  <c r="F22" i="3"/>
  <c r="G14" i="2"/>
  <c r="G15" i="2"/>
  <c r="G12" i="2"/>
  <c r="G13" i="2"/>
  <c r="G10" i="2"/>
  <c r="G8" i="2"/>
  <c r="G9" i="2"/>
  <c r="G6" i="2"/>
  <c r="G11" i="2"/>
  <c r="G5" i="2"/>
  <c r="G7" i="2"/>
  <c r="G16" i="2"/>
  <c r="G17" i="2"/>
  <c r="G18" i="2"/>
  <c r="G19" i="2"/>
  <c r="G21" i="2" l="1"/>
  <c r="E31" i="2" s="1"/>
  <c r="G24" i="2"/>
  <c r="G25" i="2"/>
  <c r="F25" i="2"/>
  <c r="F21" i="2"/>
  <c r="G11" i="7"/>
  <c r="H11" i="7" s="1"/>
  <c r="F7" i="5"/>
  <c r="G7" i="5" s="1"/>
  <c r="F5" i="5"/>
  <c r="G5" i="5" s="1"/>
  <c r="F6" i="5"/>
  <c r="G6" i="5" s="1"/>
  <c r="E20" i="2"/>
  <c r="H21" i="4"/>
  <c r="E21" i="2" l="1"/>
  <c r="E28" i="2" s="1"/>
  <c r="E25" i="2"/>
  <c r="G8" i="5"/>
  <c r="E29" i="2" s="1"/>
  <c r="H12" i="7"/>
  <c r="H9" i="2"/>
  <c r="I9" i="2" s="1"/>
  <c r="H5" i="2"/>
  <c r="H20" i="2"/>
  <c r="I20" i="2" s="1"/>
  <c r="H12" i="2"/>
  <c r="I12" i="2" s="1"/>
  <c r="H11" i="2"/>
  <c r="I11" i="2" s="1"/>
  <c r="H15" i="2"/>
  <c r="H8" i="2"/>
  <c r="I8" i="2" s="1"/>
  <c r="H13" i="2"/>
  <c r="I13" i="2" s="1"/>
  <c r="H17" i="2"/>
  <c r="I17" i="2" s="1"/>
  <c r="H18" i="2"/>
  <c r="I18" i="2" s="1"/>
  <c r="H14" i="2"/>
  <c r="I14" i="2" s="1"/>
  <c r="H10" i="2"/>
  <c r="I10" i="2" s="1"/>
  <c r="H6" i="2"/>
  <c r="I6" i="2" s="1"/>
  <c r="H7" i="2"/>
  <c r="I7" i="2" s="1"/>
  <c r="H16" i="2"/>
  <c r="I16" i="2" s="1"/>
  <c r="H19" i="2"/>
  <c r="I19" i="2" s="1"/>
  <c r="J20" i="2" l="1"/>
  <c r="K20" i="2" s="1"/>
  <c r="J18" i="2"/>
  <c r="K18" i="2" s="1"/>
  <c r="H21" i="2"/>
  <c r="E30" i="2" s="1"/>
  <c r="H24" i="2"/>
  <c r="I5" i="2"/>
  <c r="J17" i="2"/>
  <c r="K17" i="2" s="1"/>
  <c r="J9" i="2"/>
  <c r="K9" i="2" s="1"/>
  <c r="J19" i="2"/>
  <c r="K19" i="2" s="1"/>
  <c r="J13" i="2"/>
  <c r="K13" i="2" s="1"/>
  <c r="J14" i="2"/>
  <c r="K14" i="2" s="1"/>
  <c r="J8" i="2"/>
  <c r="K8" i="2" s="1"/>
  <c r="H25" i="2"/>
  <c r="I15" i="2"/>
  <c r="J16" i="2"/>
  <c r="K16" i="2" s="1"/>
  <c r="J6" i="2"/>
  <c r="K6" i="2" s="1"/>
  <c r="J11" i="2"/>
  <c r="K11" i="2" s="1"/>
  <c r="J7" i="2"/>
  <c r="K7" i="2" s="1"/>
  <c r="J10" i="2"/>
  <c r="K10" i="2" s="1"/>
  <c r="J12" i="2"/>
  <c r="K12" i="2" s="1"/>
  <c r="J5" i="2" l="1"/>
  <c r="I21" i="2"/>
  <c r="I24" i="2"/>
  <c r="J15" i="2"/>
  <c r="J25" i="2" s="1"/>
  <c r="I25" i="2"/>
  <c r="K15" i="2" l="1"/>
  <c r="K25" i="2" s="1"/>
  <c r="J21" i="2"/>
  <c r="J24" i="2"/>
  <c r="K5" i="2"/>
  <c r="K21" i="2" l="1"/>
  <c r="K24" i="2"/>
  <c r="L19" i="2" l="1"/>
  <c r="L15" i="2"/>
  <c r="L13" i="2"/>
  <c r="L20" i="2"/>
  <c r="L18" i="2"/>
  <c r="L16" i="2"/>
  <c r="L14" i="2"/>
  <c r="L12" i="2"/>
  <c r="L10" i="2"/>
  <c r="L8" i="2"/>
  <c r="L6" i="2"/>
  <c r="L17" i="2"/>
  <c r="L11" i="2"/>
  <c r="L9" i="2"/>
  <c r="L7" i="2"/>
  <c r="L5" i="2"/>
  <c r="L21" i="2" l="1"/>
</calcChain>
</file>

<file path=xl/sharedStrings.xml><?xml version="1.0" encoding="utf-8"?>
<sst xmlns="http://schemas.openxmlformats.org/spreadsheetml/2006/main" count="328" uniqueCount="262">
  <si>
    <t>Urban Eats – Supuestos del presupuesto</t>
  </si>
  <si>
    <t>Celdas en azul = entradas editables (amarillo = supuesto clave). Negro = fórmula. Verde = vínculo a otra hoja. Valores en pesos colombianos (COP).</t>
  </si>
  <si>
    <t>Concepto</t>
  </si>
  <si>
    <t>Valor</t>
  </si>
  <si>
    <t>Unidad</t>
  </si>
  <si>
    <t>Fuente / nota</t>
  </si>
  <si>
    <t>Salario mínimo mensual legal vigente 2026 (SMMLV)</t>
  </si>
  <si>
    <t>COP/mes</t>
  </si>
  <si>
    <t>Decreto de salario mínimo 2026 (dato aportado por el equipo).</t>
  </si>
  <si>
    <t>Auxilio de transporte 2026</t>
  </si>
  <si>
    <t>Decreto de auxilio de transporte 2026 (dato aportado por el equipo). Aplica si el salario ≤ 2 SMMLV.</t>
  </si>
  <si>
    <t>Salario base desarrollador junior</t>
  </si>
  <si>
    <t>Indeed Colombia, 'Junior developer salaries', actualizado 14-sep-2026 (promedio nacional; Bogotá ≈ $2.827.195). https://co.indeed.com/career/junior-developer/salaries</t>
  </si>
  <si>
    <t>Jornada máxima semanal</t>
  </si>
  <si>
    <t>h/semana</t>
  </si>
  <si>
    <t>Ley 2101 de 2021: reducción gradual; 42 h/semana desde el 15-jul-2026.</t>
  </si>
  <si>
    <t>Semanas promedio por mes</t>
  </si>
  <si>
    <t>semanas</t>
  </si>
  <si>
    <t>52 semanas / 12 meses.</t>
  </si>
  <si>
    <t>Horas laborables por mes</t>
  </si>
  <si>
    <t>h/mes</t>
  </si>
  <si>
    <t>Jornada semanal × semanas por mes.</t>
  </si>
  <si>
    <t>Factor prestacional (a cargo del empleador)</t>
  </si>
  <si>
    <t xml:space="preserve">   Prima de servicios</t>
  </si>
  <si>
    <t>% salario</t>
  </si>
  <si>
    <t>Código Sustantivo del Trabajo (CST) art. 306: 1 mes por año.</t>
  </si>
  <si>
    <t xml:space="preserve">   Cesantías</t>
  </si>
  <si>
    <t>CST art. 249: 1 mes por año.</t>
  </si>
  <si>
    <t xml:space="preserve">   Intereses sobre cesantías</t>
  </si>
  <si>
    <t>Ley 52 de 1975: 12 % anual sobre cesantías.</t>
  </si>
  <si>
    <t xml:space="preserve">   Vacaciones</t>
  </si>
  <si>
    <t>CST art. 186: 15 días hábiles por año.</t>
  </si>
  <si>
    <t xml:space="preserve">   Pensión (aporte empleador)</t>
  </si>
  <si>
    <t>Ley 100 de 1993: 12 % a cargo del empleador.</t>
  </si>
  <si>
    <t xml:space="preserve">   Salud (aporte empleador)</t>
  </si>
  <si>
    <t>Exonerado: E.T. art. 114-1 para salarios &lt; 10 SMMLV (8,5 % si no aplica).</t>
  </si>
  <si>
    <t xml:space="preserve">   ARL riesgo I</t>
  </si>
  <si>
    <t>Decreto 1772 de 1994: riesgo I = 0,522 %.</t>
  </si>
  <si>
    <t xml:space="preserve">   Caja de compensación familiar</t>
  </si>
  <si>
    <t>Ley 21 de 1982: 4 %.</t>
  </si>
  <si>
    <t xml:space="preserve">   ICBF y SENA (parafiscales)</t>
  </si>
  <si>
    <t>Exonerados por E.T. art. 114-1 (5 % si no aplica).</t>
  </si>
  <si>
    <t>Factor prestacional total</t>
  </si>
  <si>
    <t>Suma de los componentes anteriores.</t>
  </si>
  <si>
    <t>Costo mensual empleador por desarrollador</t>
  </si>
  <si>
    <t>Salario × (1 + factor prestacional) + auxilio de transporte si salario ≤ 2 SMMLV.</t>
  </si>
  <si>
    <t>Tarifa por hora de desarrollador</t>
  </si>
  <si>
    <t>COP/h</t>
  </si>
  <si>
    <t>Costo mensual empleador / horas laborables por mes.</t>
  </si>
  <si>
    <t>Dedicación y parámetros del proyecto</t>
  </si>
  <si>
    <t>Dedicación por integrante – fases 1 a 5</t>
  </si>
  <si>
    <t>Supuesto del equipo: trabajo académico a tiempo parcial (aprendices en formación + contrato de aprendizaje).</t>
  </si>
  <si>
    <t>Dedicación por integrante – fase 6</t>
  </si>
  <si>
    <t>Supuesto del equipo: sprints intensivos de 1 semana para cerrar el producto.</t>
  </si>
  <si>
    <t>Dedicación en periodos sin sprint formal</t>
  </si>
  <si>
    <t>Supuesto: receso / planeación (pocos o ningún commit en el repositorio).</t>
  </si>
  <si>
    <t>TRM (dólar)</t>
  </si>
  <si>
    <t>COP/US$</t>
  </si>
  <si>
    <t>TRM del 16-oct-2026, Superintendencia Financiera (reportada por Portafolio). https://www.portafolio.co/economia/finanzas/precio-del-dolar-hoy-en-colombia-asi-cotiza-la-divisa-este-16-de-octubre-tras-perder-casi-504569</t>
  </si>
  <si>
    <t>IVA general</t>
  </si>
  <si>
    <t>%</t>
  </si>
  <si>
    <t>Estatuto Tributario art. 468.</t>
  </si>
  <si>
    <t>Vida útil de equipos de cómputo</t>
  </si>
  <si>
    <t>años</t>
  </si>
  <si>
    <t>Decreto 1625 de 2016 / E.T. art. 137: equipos de cómputo, 5 años (tasa 20 % anual), línea recta.</t>
  </si>
  <si>
    <t>Contingencia</t>
  </si>
  <si>
    <t>% subtotal</t>
  </si>
  <si>
    <t>Reserva para riesgos (estimación del equipo).</t>
  </si>
  <si>
    <t>MercadoPago – comisión porcentual</t>
  </si>
  <si>
    <t>% venta</t>
  </si>
  <si>
    <t>Dato del equipo: 3,29 % + COP 800 + IVA. La página oficial de Link de pago (oct-2026) muestra 3,29 % + IVA con liberación inmediata y sin cargo fijo: confirmar en la cuenta. https://www.mercadopago.com.co/herramientas-para-vender/link-de-pago</t>
  </si>
  <si>
    <t>MercadoPago – cargo fijo por transacción</t>
  </si>
  <si>
    <t>COP</t>
  </si>
  <si>
    <t>Ver nota anterior (por confirmar).</t>
  </si>
  <si>
    <t>Ticket promedio de un pedido (piloto)</t>
  </si>
  <si>
    <t>Supuesto del equipo para estimar comisiones en un piloto real (no aplica en modo prueba).</t>
  </si>
  <si>
    <t>Costo de pasarela por pedido (con IVA)</t>
  </si>
  <si>
    <t>COP/pedido</t>
  </si>
  <si>
    <t>(Ticket × % + cargo fijo) × (1 + IVA).</t>
  </si>
  <si>
    <t>Pedidos reales durante el proyecto</t>
  </si>
  <si>
    <t>pedidos</t>
  </si>
  <si>
    <t>0: la pasarela se usa en modo prueba (sandbox), sin costo. Cambiar si se hace un piloto con pagos reales.</t>
  </si>
  <si>
    <t>Resumen del presupuesto por sprint</t>
  </si>
  <si>
    <t>Hardware = depreciación semanal × semanas. Software se reparte por semanas en todo el proyecto. Contingencia = % de Supuestos sobre el subtotal.</t>
  </si>
  <si>
    <t>Sprint</t>
  </si>
  <si>
    <t>Fase</t>
  </si>
  <si>
    <t>Nombre</t>
  </si>
  <si>
    <t>Semanas</t>
  </si>
  <si>
    <t>Talento humano</t>
  </si>
  <si>
    <t>Hardware</t>
  </si>
  <si>
    <t>Software y licencias</t>
  </si>
  <si>
    <t>Servicios</t>
  </si>
  <si>
    <t>Subtotal</t>
  </si>
  <si>
    <t>Total sprint</t>
  </si>
  <si>
    <t>% del total</t>
  </si>
  <si>
    <t>TOTAL PROYECTO</t>
  </si>
  <si>
    <t>Totales por fase</t>
  </si>
  <si>
    <t>Fases 1–5</t>
  </si>
  <si>
    <t>Fase 6</t>
  </si>
  <si>
    <t>Controles</t>
  </si>
  <si>
    <t>Talento humano = hoja Talento humano</t>
  </si>
  <si>
    <t>Hardware resumen = hoja Hardware</t>
  </si>
  <si>
    <t>Servicios resumen = hoja Servicios</t>
  </si>
  <si>
    <t>Software resumen = hoja Software</t>
  </si>
  <si>
    <t>Cronograma por sprints</t>
  </si>
  <si>
    <t>Sprints 1–9 reconstruidos del historial de git del repositorio SDDev-01/Urban-Eats (293 commits, 25-feb a 14-sep-2026). Fase 6: 6 sprints de 1 semana.</t>
  </si>
  <si>
    <t>Inicio</t>
  </si>
  <si>
    <t>Fin</t>
  </si>
  <si>
    <t>Integrantes</t>
  </si>
  <si>
    <t>h/semana por integrante</t>
  </si>
  <si>
    <t>Horas sprint</t>
  </si>
  <si>
    <t>Entregables (según commits)</t>
  </si>
  <si>
    <t>S1</t>
  </si>
  <si>
    <t>Arranque y modelo de datos</t>
  </si>
  <si>
    <t>Repositorio, modelo relacional, scripts Schema.sql e Inserts.sql.</t>
  </si>
  <si>
    <t>S2</t>
  </si>
  <si>
    <t>Base de datos avanzada y frontend base</t>
  </si>
  <si>
    <t>Triggers, funciones y procedimientos; frontend HTML/CSS; catálogo; rastreo con mapa; diagramas de despliegue y paquetes; páginas 404/500.</t>
  </si>
  <si>
    <t>S3</t>
  </si>
  <si>
    <t>Diagramas, pagos (front) y documento DEA</t>
  </si>
  <si>
    <t>Vista de método de pago, diagramas de componentes y paquetes, DEA con objetivos SMART.</t>
  </si>
  <si>
    <t>S4</t>
  </si>
  <si>
    <t>Normalización de la base de datos</t>
  </si>
  <si>
    <t>Modelo relacional normalizado, rol gerente, compatibilidad MySQL/MariaDB.</t>
  </si>
  <si>
    <t>S5</t>
  </si>
  <si>
    <t>Migración a Laravel: autenticación</t>
  </si>
  <si>
    <t>Vistas Laravel, inicio de sesión, registro, logout, controladores de restaurante y rastreo.</t>
  </si>
  <si>
    <t>S6</t>
  </si>
  <si>
    <t>Pasarela MercadoPago y chatbot</t>
  </si>
  <si>
    <t>Integración MercadoPago, chatbot con API externa, imágenes de restaurantes.</t>
  </si>
  <si>
    <t>S7</t>
  </si>
  <si>
    <t>Receso y transición (sin sprint formal)</t>
  </si>
  <si>
    <t>Conversión de vistas PHP a HTML (pocos commits).</t>
  </si>
  <si>
    <t>S8</t>
  </si>
  <si>
    <t>Migración a Spring Boot: entidades y DAO</t>
  </si>
  <si>
    <t>Configuración Java 21 + Spring Boot, entidades JPA, repositorios y cardinalidades.</t>
  </si>
  <si>
    <t>S9</t>
  </si>
  <si>
    <t>Servicios, controladores y reportes</t>
  </si>
  <si>
    <t>Services e interfaces, controllers, login corregido, reporte de platos con filtros multicriterio.</t>
  </si>
  <si>
    <t>S10</t>
  </si>
  <si>
    <t>Planeación de fase 6 (sin commits)</t>
  </si>
  <si>
    <t>Sin commits en el repositorio: cierre de fase 5, reorganización del equipo (pasa a 2 integrantes) y planeación.</t>
  </si>
  <si>
    <t>F6-1</t>
  </si>
  <si>
    <t>Estabilizar</t>
  </si>
  <si>
    <t>Flujo de pedidos con 3 roles y 6 estados corregido; errores de arranque resueltos.</t>
  </si>
  <si>
    <t>F6-2</t>
  </si>
  <si>
    <t>Servicio Python</t>
  </si>
  <si>
    <t>Microservicio FastAPI: CRUD de solicitudes de cocina, validaciones try/except, estructura de carpetas.</t>
  </si>
  <si>
    <t>F6-3</t>
  </si>
  <si>
    <t>IA, mapa e integración</t>
  </si>
  <si>
    <t>Chatbot con Ollama qwen3:4b, ruta OpenRouteService en mapa Leaflet, integración Spring ↔ Python.</t>
  </si>
  <si>
    <t>F6-4</t>
  </si>
  <si>
    <t>Demostración y calidad</t>
  </si>
  <si>
    <t>Modo demostración con cocina y datos de prueba; ejecución del plan de pruebas.</t>
  </si>
  <si>
    <t>F6-5</t>
  </si>
  <si>
    <t>Extras</t>
  </si>
  <si>
    <t>Reportes exportables CSV/XLSX/PDF, mejoras de interfaz, acciones de mejora de las pruebas.</t>
  </si>
  <si>
    <t>F6-6</t>
  </si>
  <si>
    <t>Documentar y ensayar</t>
  </si>
  <si>
    <t>Negociación tecnológica, presupuesto, diapositivas, encuesta y ensayo de la sustentación.</t>
  </si>
  <si>
    <t>Meses del proyecto</t>
  </si>
  <si>
    <t>Semanas de la fase 6</t>
  </si>
  <si>
    <t>Talento humano por sprint</t>
  </si>
  <si>
    <t>Costo = integrantes × horas por integrante en el sprint × tarifa por hora (hoja Supuestos). Se valora a precio de mercado aunque el equipo sea de aprendices.</t>
  </si>
  <si>
    <t>h por integrante</t>
  </si>
  <si>
    <t>Horas totales</t>
  </si>
  <si>
    <t>Tarifa hora</t>
  </si>
  <si>
    <t>Costo talento humano</t>
  </si>
  <si>
    <t>TOTAL</t>
  </si>
  <si>
    <t>Hardware – depreciación prorrateada</t>
  </si>
  <si>
    <t>Depreciación en línea recta a 5 años (60 meses). Se carga al proyecto solo la depreciación de los meses de uso. Precios con IVA incluido.</t>
  </si>
  <si>
    <t>Equipo</t>
  </si>
  <si>
    <t>Cantidad</t>
  </si>
  <si>
    <t>Valor unitario</t>
  </si>
  <si>
    <t>Valor total</t>
  </si>
  <si>
    <t>Depreciación mensual</t>
  </si>
  <si>
    <t>Meses de uso</t>
  </si>
  <si>
    <t>Costo imputado</t>
  </si>
  <si>
    <t>Portátil Intel Core i7, 16 GB RAM, SSD 512 GB</t>
  </si>
  <si>
    <t>Precio de lista Acer Aspire Lite 16" (Core i7, 16 GB, 512 GB) en Alkomprar/Alkosto, 2026. https://www.alkomprar.com/computador-portatil-acer-aspire-lite-16-pulgadas-7167/p/4711474847195</t>
  </si>
  <si>
    <t>GPU dedicada 4 GB (opcional, acelera Ollama)</t>
  </si>
  <si>
    <t>Opcional: qwen3:4b corre en CPU con 16 GB RAM. Valor de referencia por confirmar; cantidad 0 = no se compra.</t>
  </si>
  <si>
    <t>Servidor de producción (mín. 2 vCPU, 8 GB RAM, 100 GB)</t>
  </si>
  <si>
    <t>No se compra: se arrienda como VPS (ver hoja Servicios).</t>
  </si>
  <si>
    <t>Depreciación por semana (para el resumen por sprint)</t>
  </si>
  <si>
    <t>Todo el stack es software libre o gratuito. La única licencia con costo es la tipografía Cocogoose Pro (hoy en versión trial).</t>
  </si>
  <si>
    <t>Software</t>
  </si>
  <si>
    <t>Uso en el proyecto</t>
  </si>
  <si>
    <t>Licencia</t>
  </si>
  <si>
    <t>Precio US$</t>
  </si>
  <si>
    <t>Precio COP</t>
  </si>
  <si>
    <t>Total COP</t>
  </si>
  <si>
    <t>Java 21 (Eclipse Temurin)</t>
  </si>
  <si>
    <t>Backend principal</t>
  </si>
  <si>
    <t>GPLv2 + Classpath Exception</t>
  </si>
  <si>
    <t>https://adoptium.net</t>
  </si>
  <si>
    <t>Spring Boot 4.1 + Thymeleaf</t>
  </si>
  <si>
    <t>Framework web y vistas</t>
  </si>
  <si>
    <t>Apache 2.0</t>
  </si>
  <si>
    <t>https://spring.io/projects/spring-boot</t>
  </si>
  <si>
    <t>Python 3.13 + FastAPI + SQLAlchemy</t>
  </si>
  <si>
    <t>Microservicio de verificación y reportes</t>
  </si>
  <si>
    <t>PSF / MIT / MIT</t>
  </si>
  <si>
    <t>https://fastapi.tiangolo.com</t>
  </si>
  <si>
    <t>MariaDB 10.4 / MySQL Community</t>
  </si>
  <si>
    <t>Base de datos</t>
  </si>
  <si>
    <t>GPLv2</t>
  </si>
  <si>
    <t>https://mariadb.org</t>
  </si>
  <si>
    <t>Ollama + modelo qwen3:4b</t>
  </si>
  <si>
    <t>Asistente IA local</t>
  </si>
  <si>
    <t>MIT / Apache 2.0</t>
  </si>
  <si>
    <t>https://ollama.com/library/qwen3</t>
  </si>
  <si>
    <t>Leaflet + OpenStreetMap</t>
  </si>
  <si>
    <t>Mapa y teselas</t>
  </si>
  <si>
    <t>BSD-2 / ODbL</t>
  </si>
  <si>
    <t>https://leafletjs.com · https://www.openstreetmap.org/copyright</t>
  </si>
  <si>
    <t>VS Code / IntelliJ IDEA Community</t>
  </si>
  <si>
    <t>Entorno de desarrollo</t>
  </si>
  <si>
    <t>Ediciones gratuitas.</t>
  </si>
  <si>
    <t>Git + GitHub Free</t>
  </si>
  <si>
    <t>Control de versiones y tablero</t>
  </si>
  <si>
    <t>GPLv2 / plan gratuito</t>
  </si>
  <si>
    <t>https://github.com/pricing</t>
  </si>
  <si>
    <t>Creato Display</t>
  </si>
  <si>
    <t>Tipografía de cuerpo</t>
  </si>
  <si>
    <t>Gratuita (verificar términos de uso comercial)</t>
  </si>
  <si>
    <t>Tipografía del manual de identidad.</t>
  </si>
  <si>
    <t>Cocogoose Pro – familia completa (licencia de escritorio)</t>
  </si>
  <si>
    <t>Tipografía de títulos</t>
  </si>
  <si>
    <t>Comercial – Zetafonts</t>
  </si>
  <si>
    <t>Referencia: YouWorkForThem, familia completa US$154. https://www.youworkforthem.com/font/T7362/cocogoose-pro · La web requiere licencia webfont aparte: confirmar con Zetafonts o reemplazar por una fuente libre (p. ej. Poppins, OFL) con costo 0.</t>
  </si>
  <si>
    <t>Ámbito 'Proyecto' se reparte entre todos los sprints por semanas; ámbito 'Fase 6' solo entre los sprints de la fase 6.</t>
  </si>
  <si>
    <t>Servicio</t>
  </si>
  <si>
    <t>Proveedor</t>
  </si>
  <si>
    <t>Periodos</t>
  </si>
  <si>
    <t>Ámbito</t>
  </si>
  <si>
    <t>VPS producción (2 vCPU, 8 GB, 100 GB NVMe)</t>
  </si>
  <si>
    <t>Hostinger KVM 2</t>
  </si>
  <si>
    <t>mes</t>
  </si>
  <si>
    <t>US$16,99/mes con compromiso de 12 meses (US$24,49 sin compromiso). VPSBenchmarks, oct-2026: https://www.vpsbenchmarks.com/hosters/hostinger/plans/kvm-2 · Se imputan 2 meses de despliegue para la demostración.</t>
  </si>
  <si>
    <t>Dominio urbaneats.com.co</t>
  </si>
  <si>
    <t>Spaceship (registrador)</t>
  </si>
  <si>
    <t>año</t>
  </si>
  <si>
    <t>US$15,53/año registro y renovación: https://www.spaceship.com/zh-HK/domains/cctld/com-co/ · OVHcloud lo ofrece en US$13,59 el primer año.</t>
  </si>
  <si>
    <t>OpenRouteService – Directions</t>
  </si>
  <si>
    <t>HeiGIT</t>
  </si>
  <si>
    <t>día</t>
  </si>
  <si>
    <t>Plan Standard gratuito: 2.000 rutas/día y 40/min con API key. https://openrouteservice.org/plans/</t>
  </si>
  <si>
    <t>Teselas de OpenStreetMap</t>
  </si>
  <si>
    <t>OSM Foundation</t>
  </si>
  <si>
    <t>Gratis con atribución y uso moderado (Tile Usage Policy). https://operations.osmfoundation.org/policies/tiles/</t>
  </si>
  <si>
    <t>GitHub (repositorio y Projects)</t>
  </si>
  <si>
    <t>GitHub</t>
  </si>
  <si>
    <t>Proyecto</t>
  </si>
  <si>
    <t>Plan Free. https://github.com/pricing</t>
  </si>
  <si>
    <t>Pasarela MercadoPago (comisión por pedido)</t>
  </si>
  <si>
    <t>Mercado Pago</t>
  </si>
  <si>
    <t>pedido</t>
  </si>
  <si>
    <t>Modo prueba = sin costo. Costo por pedido real = (ticket × 3,29 % + $800) × 1,19 (ver Supuestos).</t>
  </si>
  <si>
    <t>Internet hogar (prorrateo 30 % del plan)</t>
  </si>
  <si>
    <t>Operador local</t>
  </si>
  <si>
    <t>Supuesto: plan de $90.000/mes × 30 % de uso para el proyecto, por integrante.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</si>
</sst>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;\(&quot;$&quot;#,##0\);&quot;-&quot;"/>
    <numFmt numFmtId="165" formatCode="0.000"/>
    <numFmt numFmtId="166" formatCode="#,##0.0;\(#,##0.0\);&quot;-&quot;"/>
    <numFmt numFmtId="167" formatCode="0.00%;\(0.00%\);&quot;-&quot;"/>
    <numFmt numFmtId="168" formatCode="&quot;$&quot;#,##0.00;\(&quot;$&quot;#,##0.00\);&quot;-&quot;"/>
    <numFmt numFmtId="170" formatCode="dd/mm/yyyy"/>
    <numFmt numFmtId="171" formatCode="0.0"/>
    <numFmt numFmtId="172" formatCode="#,##0.0"/>
    <numFmt numFmtId="173" formatCode="&quot;US$&quot;#,##0.00;\(&quot;US$&quot;#,##0.00\);&quot;-&quot;"/>
    <numFmt numFmtId="174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A42828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42828"/>
      </patternFill>
    </fill>
    <fill>
      <patternFill patternType="solid">
        <fgColor rgb="FFFFFF00"/>
      </patternFill>
    </fill>
    <fill>
      <patternFill patternType="solid">
        <fgColor rgb="FFF3F1E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/>
    </xf>
    <xf numFmtId="164" fontId="5" fillId="3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/>
    </xf>
    <xf numFmtId="1" fontId="5" fillId="0" borderId="1" xfId="0" applyNumberFormat="1" applyFont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166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167" fontId="5" fillId="0" borderId="1" xfId="0" applyNumberFormat="1" applyFont="1" applyBorder="1" applyAlignment="1">
      <alignment vertical="top"/>
    </xf>
    <xf numFmtId="167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164" fontId="4" fillId="4" borderId="1" xfId="0" applyNumberFormat="1" applyFont="1" applyFill="1" applyBorder="1" applyAlignment="1">
      <alignment vertical="top"/>
    </xf>
    <xf numFmtId="1" fontId="5" fillId="3" borderId="1" xfId="0" applyNumberFormat="1" applyFont="1" applyFill="1" applyBorder="1" applyAlignment="1">
      <alignment vertical="top"/>
    </xf>
    <xf numFmtId="168" fontId="5" fillId="0" borderId="1" xfId="0" applyNumberFormat="1" applyFont="1" applyBorder="1" applyAlignment="1">
      <alignment vertical="top"/>
    </xf>
    <xf numFmtId="167" fontId="5" fillId="3" borderId="1" xfId="0" applyNumberFormat="1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171" fontId="7" fillId="0" borderId="1" xfId="0" applyNumberFormat="1" applyFont="1" applyBorder="1" applyAlignment="1">
      <alignment vertical="top"/>
    </xf>
    <xf numFmtId="164" fontId="7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174" fontId="4" fillId="0" borderId="1" xfId="0" applyNumberFormat="1" applyFont="1" applyBorder="1" applyAlignment="1">
      <alignment vertical="top"/>
    </xf>
    <xf numFmtId="0" fontId="6" fillId="4" borderId="1" xfId="0" applyFont="1" applyFill="1" applyBorder="1" applyAlignment="1">
      <alignment vertical="top"/>
    </xf>
    <xf numFmtId="171" fontId="6" fillId="4" borderId="1" xfId="0" applyNumberFormat="1" applyFont="1" applyFill="1" applyBorder="1" applyAlignment="1">
      <alignment vertical="top"/>
    </xf>
    <xf numFmtId="164" fontId="6" fillId="4" borderId="1" xfId="0" applyNumberFormat="1" applyFont="1" applyFill="1" applyBorder="1" applyAlignment="1">
      <alignment vertical="top"/>
    </xf>
    <xf numFmtId="174" fontId="6" fillId="4" borderId="1" xfId="0" applyNumberFormat="1" applyFont="1" applyFill="1" applyBorder="1" applyAlignment="1">
      <alignment vertical="top"/>
    </xf>
    <xf numFmtId="170" fontId="5" fillId="0" borderId="1" xfId="0" applyNumberFormat="1" applyFont="1" applyBorder="1" applyAlignment="1">
      <alignment vertical="top"/>
    </xf>
    <xf numFmtId="171" fontId="4" fillId="0" borderId="1" xfId="0" applyNumberFormat="1" applyFont="1" applyBorder="1" applyAlignment="1">
      <alignment vertical="top"/>
    </xf>
    <xf numFmtId="1" fontId="7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170" fontId="4" fillId="0" borderId="1" xfId="0" applyNumberFormat="1" applyFont="1" applyBorder="1" applyAlignment="1">
      <alignment vertical="top"/>
    </xf>
    <xf numFmtId="170" fontId="4" fillId="4" borderId="1" xfId="0" applyNumberFormat="1" applyFont="1" applyFill="1" applyBorder="1" applyAlignment="1">
      <alignment vertical="top"/>
    </xf>
    <xf numFmtId="3" fontId="6" fillId="4" borderId="1" xfId="0" applyNumberFormat="1" applyFont="1" applyFill="1" applyBorder="1" applyAlignment="1">
      <alignment vertical="top"/>
    </xf>
    <xf numFmtId="172" fontId="7" fillId="0" borderId="1" xfId="0" applyNumberFormat="1" applyFont="1" applyBorder="1" applyAlignment="1">
      <alignment vertical="top"/>
    </xf>
    <xf numFmtId="173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73" fontId="4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643B"/>
    <pageSetUpPr fitToPage="1"/>
  </sheetPr>
  <dimension ref="A1:D38"/>
  <sheetViews>
    <sheetView showGridLines="0" tabSelected="1" workbookViewId="0"/>
  </sheetViews>
  <sheetFormatPr baseColWidth="10" defaultColWidth="8.88671875" defaultRowHeight="14.4" x14ac:dyDescent="0.3"/>
  <cols>
    <col min="1" max="1" width="46" customWidth="1"/>
    <col min="2" max="2" width="18" customWidth="1"/>
    <col min="3" max="3" width="14" customWidth="1"/>
    <col min="4" max="4" width="90" customWidth="1"/>
  </cols>
  <sheetData>
    <row r="1" spans="1:4" ht="17.399999999999999" x14ac:dyDescent="0.3">
      <c r="A1" s="1" t="s">
        <v>0</v>
      </c>
    </row>
    <row r="2" spans="1:4" x14ac:dyDescent="0.3">
      <c r="A2" s="2" t="s">
        <v>1</v>
      </c>
    </row>
    <row r="4" spans="1:4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>
        <v>1750905</v>
      </c>
      <c r="C5" s="4" t="s">
        <v>7</v>
      </c>
      <c r="D5" s="6" t="s">
        <v>8</v>
      </c>
    </row>
    <row r="6" spans="1:4" x14ac:dyDescent="0.3">
      <c r="A6" s="4" t="s">
        <v>9</v>
      </c>
      <c r="B6" s="7">
        <v>249095</v>
      </c>
      <c r="C6" s="4" t="s">
        <v>7</v>
      </c>
      <c r="D6" s="6" t="s">
        <v>10</v>
      </c>
    </row>
    <row r="7" spans="1:4" ht="26.4" x14ac:dyDescent="0.3">
      <c r="A7" s="4" t="s">
        <v>11</v>
      </c>
      <c r="B7" s="5">
        <v>2812680</v>
      </c>
      <c r="C7" s="4" t="s">
        <v>7</v>
      </c>
      <c r="D7" s="6" t="s">
        <v>12</v>
      </c>
    </row>
    <row r="8" spans="1:4" x14ac:dyDescent="0.3">
      <c r="A8" s="4" t="s">
        <v>13</v>
      </c>
      <c r="B8" s="8">
        <v>42</v>
      </c>
      <c r="C8" s="4" t="s">
        <v>14</v>
      </c>
      <c r="D8" s="6" t="s">
        <v>15</v>
      </c>
    </row>
    <row r="9" spans="1:4" x14ac:dyDescent="0.3">
      <c r="A9" s="4" t="s">
        <v>16</v>
      </c>
      <c r="B9" s="9">
        <f>52/12</f>
        <v>4.333333333333333</v>
      </c>
      <c r="C9" s="4" t="s">
        <v>17</v>
      </c>
      <c r="D9" s="6" t="s">
        <v>18</v>
      </c>
    </row>
    <row r="10" spans="1:4" x14ac:dyDescent="0.3">
      <c r="A10" s="4" t="s">
        <v>19</v>
      </c>
      <c r="B10" s="10">
        <f>B8*B9</f>
        <v>182</v>
      </c>
      <c r="C10" s="4" t="s">
        <v>20</v>
      </c>
      <c r="D10" s="6" t="s">
        <v>21</v>
      </c>
    </row>
    <row r="12" spans="1:4" x14ac:dyDescent="0.3">
      <c r="A12" s="11" t="s">
        <v>22</v>
      </c>
    </row>
    <row r="13" spans="1:4" x14ac:dyDescent="0.3">
      <c r="A13" s="4" t="s">
        <v>23</v>
      </c>
      <c r="B13" s="12">
        <v>8.3299999999999999E-2</v>
      </c>
      <c r="C13" s="4" t="s">
        <v>24</v>
      </c>
      <c r="D13" s="6" t="s">
        <v>25</v>
      </c>
    </row>
    <row r="14" spans="1:4" x14ac:dyDescent="0.3">
      <c r="A14" s="4" t="s">
        <v>26</v>
      </c>
      <c r="B14" s="12">
        <v>8.3299999999999999E-2</v>
      </c>
      <c r="C14" s="4" t="s">
        <v>24</v>
      </c>
      <c r="D14" s="6" t="s">
        <v>27</v>
      </c>
    </row>
    <row r="15" spans="1:4" x14ac:dyDescent="0.3">
      <c r="A15" s="4" t="s">
        <v>28</v>
      </c>
      <c r="B15" s="12">
        <v>0.01</v>
      </c>
      <c r="C15" s="4" t="s">
        <v>24</v>
      </c>
      <c r="D15" s="6" t="s">
        <v>29</v>
      </c>
    </row>
    <row r="16" spans="1:4" x14ac:dyDescent="0.3">
      <c r="A16" s="4" t="s">
        <v>30</v>
      </c>
      <c r="B16" s="12">
        <v>4.1700000000000001E-2</v>
      </c>
      <c r="C16" s="4" t="s">
        <v>24</v>
      </c>
      <c r="D16" s="6" t="s">
        <v>31</v>
      </c>
    </row>
    <row r="17" spans="1:4" x14ac:dyDescent="0.3">
      <c r="A17" s="4" t="s">
        <v>32</v>
      </c>
      <c r="B17" s="12">
        <v>0.12</v>
      </c>
      <c r="C17" s="4" t="s">
        <v>24</v>
      </c>
      <c r="D17" s="6" t="s">
        <v>33</v>
      </c>
    </row>
    <row r="18" spans="1:4" x14ac:dyDescent="0.3">
      <c r="A18" s="4" t="s">
        <v>34</v>
      </c>
      <c r="B18" s="12">
        <v>0</v>
      </c>
      <c r="C18" s="4" t="s">
        <v>24</v>
      </c>
      <c r="D18" s="6" t="s">
        <v>35</v>
      </c>
    </row>
    <row r="19" spans="1:4" x14ac:dyDescent="0.3">
      <c r="A19" s="4" t="s">
        <v>36</v>
      </c>
      <c r="B19" s="12">
        <v>5.2199999999999998E-3</v>
      </c>
      <c r="C19" s="4" t="s">
        <v>24</v>
      </c>
      <c r="D19" s="6" t="s">
        <v>37</v>
      </c>
    </row>
    <row r="20" spans="1:4" x14ac:dyDescent="0.3">
      <c r="A20" s="4" t="s">
        <v>38</v>
      </c>
      <c r="B20" s="12">
        <v>0.04</v>
      </c>
      <c r="C20" s="4" t="s">
        <v>24</v>
      </c>
      <c r="D20" s="6" t="s">
        <v>39</v>
      </c>
    </row>
    <row r="21" spans="1:4" x14ac:dyDescent="0.3">
      <c r="A21" s="4" t="s">
        <v>40</v>
      </c>
      <c r="B21" s="12">
        <v>0</v>
      </c>
      <c r="C21" s="4" t="s">
        <v>24</v>
      </c>
      <c r="D21" s="6" t="s">
        <v>41</v>
      </c>
    </row>
    <row r="22" spans="1:4" x14ac:dyDescent="0.3">
      <c r="A22" s="11" t="s">
        <v>42</v>
      </c>
      <c r="B22" s="13">
        <f>SUM(B13:B21)</f>
        <v>0.38351999999999997</v>
      </c>
      <c r="C22" s="4" t="s">
        <v>24</v>
      </c>
      <c r="D22" s="6" t="s">
        <v>43</v>
      </c>
    </row>
    <row r="23" spans="1:4" x14ac:dyDescent="0.3">
      <c r="A23" s="4" t="s">
        <v>44</v>
      </c>
      <c r="B23" s="14">
        <f>$B$7*(1+B22)+IF($B$7&lt;=2*$B$5,$B$6,0)</f>
        <v>4140494.0335999997</v>
      </c>
      <c r="C23" s="4" t="s">
        <v>7</v>
      </c>
      <c r="D23" s="6" t="s">
        <v>45</v>
      </c>
    </row>
    <row r="24" spans="1:4" x14ac:dyDescent="0.3">
      <c r="A24" s="11" t="s">
        <v>46</v>
      </c>
      <c r="B24" s="15">
        <f>B23/$B$10</f>
        <v>22749.967217582416</v>
      </c>
      <c r="C24" s="4" t="s">
        <v>47</v>
      </c>
      <c r="D24" s="6" t="s">
        <v>48</v>
      </c>
    </row>
    <row r="26" spans="1:4" x14ac:dyDescent="0.3">
      <c r="A26" s="11" t="s">
        <v>49</v>
      </c>
    </row>
    <row r="27" spans="1:4" ht="26.4" x14ac:dyDescent="0.3">
      <c r="A27" s="4" t="s">
        <v>50</v>
      </c>
      <c r="B27" s="16">
        <v>10</v>
      </c>
      <c r="C27" s="4" t="s">
        <v>14</v>
      </c>
      <c r="D27" s="6" t="s">
        <v>51</v>
      </c>
    </row>
    <row r="28" spans="1:4" x14ac:dyDescent="0.3">
      <c r="A28" s="4" t="s">
        <v>52</v>
      </c>
      <c r="B28" s="16">
        <v>20</v>
      </c>
      <c r="C28" s="4" t="s">
        <v>14</v>
      </c>
      <c r="D28" s="6" t="s">
        <v>53</v>
      </c>
    </row>
    <row r="29" spans="1:4" x14ac:dyDescent="0.3">
      <c r="A29" s="4" t="s">
        <v>54</v>
      </c>
      <c r="B29" s="8">
        <v>3</v>
      </c>
      <c r="C29" s="4" t="s">
        <v>14</v>
      </c>
      <c r="D29" s="6" t="s">
        <v>55</v>
      </c>
    </row>
    <row r="30" spans="1:4" ht="39.6" x14ac:dyDescent="0.3">
      <c r="A30" s="4" t="s">
        <v>56</v>
      </c>
      <c r="B30" s="17">
        <v>3170.46</v>
      </c>
      <c r="C30" s="4" t="s">
        <v>57</v>
      </c>
      <c r="D30" s="6" t="s">
        <v>58</v>
      </c>
    </row>
    <row r="31" spans="1:4" x14ac:dyDescent="0.3">
      <c r="A31" s="4" t="s">
        <v>59</v>
      </c>
      <c r="B31" s="12">
        <v>0.19</v>
      </c>
      <c r="C31" s="4" t="s">
        <v>60</v>
      </c>
      <c r="D31" s="6" t="s">
        <v>61</v>
      </c>
    </row>
    <row r="32" spans="1:4" x14ac:dyDescent="0.3">
      <c r="A32" s="4" t="s">
        <v>62</v>
      </c>
      <c r="B32" s="8">
        <v>5</v>
      </c>
      <c r="C32" s="4" t="s">
        <v>63</v>
      </c>
      <c r="D32" s="6" t="s">
        <v>64</v>
      </c>
    </row>
    <row r="33" spans="1:4" x14ac:dyDescent="0.3">
      <c r="A33" s="4" t="s">
        <v>65</v>
      </c>
      <c r="B33" s="18">
        <v>0.1</v>
      </c>
      <c r="C33" s="4" t="s">
        <v>66</v>
      </c>
      <c r="D33" s="6" t="s">
        <v>67</v>
      </c>
    </row>
    <row r="34" spans="1:4" ht="39.6" x14ac:dyDescent="0.3">
      <c r="A34" s="4" t="s">
        <v>68</v>
      </c>
      <c r="B34" s="12">
        <v>3.2899999999999999E-2</v>
      </c>
      <c r="C34" s="4" t="s">
        <v>69</v>
      </c>
      <c r="D34" s="6" t="s">
        <v>70</v>
      </c>
    </row>
    <row r="35" spans="1:4" x14ac:dyDescent="0.3">
      <c r="A35" s="4" t="s">
        <v>71</v>
      </c>
      <c r="B35" s="7">
        <v>800</v>
      </c>
      <c r="C35" s="4" t="s">
        <v>72</v>
      </c>
      <c r="D35" s="6" t="s">
        <v>73</v>
      </c>
    </row>
    <row r="36" spans="1:4" x14ac:dyDescent="0.3">
      <c r="A36" s="4" t="s">
        <v>74</v>
      </c>
      <c r="B36" s="7">
        <v>28000</v>
      </c>
      <c r="C36" s="4" t="s">
        <v>72</v>
      </c>
      <c r="D36" s="6" t="s">
        <v>75</v>
      </c>
    </row>
    <row r="37" spans="1:4" x14ac:dyDescent="0.3">
      <c r="A37" s="4" t="s">
        <v>76</v>
      </c>
      <c r="B37" s="14">
        <f>(B36*B34+B35)*(1+$B$31)</f>
        <v>2048.2279999999996</v>
      </c>
      <c r="C37" s="4" t="s">
        <v>77</v>
      </c>
      <c r="D37" s="6" t="s">
        <v>78</v>
      </c>
    </row>
    <row r="38" spans="1:4" x14ac:dyDescent="0.3">
      <c r="A38" s="4" t="s">
        <v>79</v>
      </c>
      <c r="B38" s="8">
        <v>0</v>
      </c>
      <c r="C38" s="4" t="s">
        <v>80</v>
      </c>
      <c r="D38" s="6" t="s">
        <v>81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42828"/>
    <pageSetUpPr fitToPage="1"/>
  </sheetPr>
  <dimension ref="A1:L31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" customWidth="1"/>
    <col min="2" max="2" width="11" customWidth="1"/>
    <col min="3" max="3" width="34" customWidth="1"/>
    <col min="4" max="4" width="9" customWidth="1"/>
    <col min="5" max="5" width="17" customWidth="1"/>
    <col min="6" max="8" width="15" customWidth="1"/>
    <col min="9" max="9" width="17" customWidth="1"/>
    <col min="10" max="10" width="15" customWidth="1"/>
    <col min="11" max="11" width="18" customWidth="1"/>
    <col min="12" max="12" width="10" customWidth="1"/>
  </cols>
  <sheetData>
    <row r="1" spans="1:12" ht="17.399999999999999" x14ac:dyDescent="0.3">
      <c r="A1" s="1" t="s">
        <v>82</v>
      </c>
    </row>
    <row r="2" spans="1:12" x14ac:dyDescent="0.3">
      <c r="A2" s="2" t="s">
        <v>83</v>
      </c>
    </row>
    <row r="4" spans="1:12" ht="30" customHeight="1" x14ac:dyDescent="0.3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65</v>
      </c>
      <c r="K4" s="3" t="s">
        <v>93</v>
      </c>
      <c r="L4" s="3" t="s">
        <v>94</v>
      </c>
    </row>
    <row r="5" spans="1:12" x14ac:dyDescent="0.3">
      <c r="A5" s="19" t="str">
        <f>Cronograma!A5</f>
        <v>S1</v>
      </c>
      <c r="B5" s="19" t="str">
        <f>Cronograma!B5</f>
        <v>Fases 1–5</v>
      </c>
      <c r="C5" s="20" t="str">
        <f>Cronograma!C5</f>
        <v>Arranque y modelo de datos</v>
      </c>
      <c r="D5" s="21">
        <f>Cronograma!F5</f>
        <v>2.7142857142857144</v>
      </c>
      <c r="E5" s="22">
        <f>'Talento humano'!H5</f>
        <v>2469996.440766091</v>
      </c>
      <c r="F5" s="14">
        <f>Hardware!$E$10*D5</f>
        <v>91847.252747252773</v>
      </c>
      <c r="G5" s="14">
        <f>'Software y licencias'!$G$15*D5/Cronograma!$F$21</f>
        <v>33369.66172661871</v>
      </c>
      <c r="H5" s="14">
        <f>SUMIF(Servicios!$I$5:$I$11,"Proyecto",Servicios!$H$5:$H$11)*D5/Cronograma!$F$21+IF(B5="Fase 6",SUMIF(Servicios!$I$5:$I$11,"Fase 6",Servicios!$H$5:$H$11)*D5/Cronograma!$F$23,0)</f>
        <v>33824.175824175829</v>
      </c>
      <c r="I5" s="14">
        <f t="shared" ref="I5:I20" si="0">SUM(E5:H5)</f>
        <v>2629037.5310641383</v>
      </c>
      <c r="J5" s="14">
        <f>I5*Supuestos!$B$33</f>
        <v>262903.75310641382</v>
      </c>
      <c r="K5" s="23">
        <f t="shared" ref="K5:K20" si="1">I5+J5</f>
        <v>2891941.2841705522</v>
      </c>
      <c r="L5" s="24">
        <f t="shared" ref="L5:L20" si="2">IF($K$21=0,0,K5/$K$21)</f>
        <v>8.2273250017256661E-2</v>
      </c>
    </row>
    <row r="6" spans="1:12" x14ac:dyDescent="0.3">
      <c r="A6" s="19" t="str">
        <f>Cronograma!A6</f>
        <v>S2</v>
      </c>
      <c r="B6" s="19" t="str">
        <f>Cronograma!B6</f>
        <v>Fases 1–5</v>
      </c>
      <c r="C6" s="20" t="str">
        <f>Cronograma!C6</f>
        <v>Base de datos avanzada y frontend base</v>
      </c>
      <c r="D6" s="21">
        <f>Cronograma!F6</f>
        <v>2.2857142857142856</v>
      </c>
      <c r="E6" s="22">
        <f>'Talento humano'!H6</f>
        <v>2079997.0027503921</v>
      </c>
      <c r="F6" s="14">
        <f>Hardware!$E$10*D6</f>
        <v>77345.054945054959</v>
      </c>
      <c r="G6" s="14">
        <f>'Software y licencias'!$G$15*D6/Cronograma!$F$21</f>
        <v>28100.767769784175</v>
      </c>
      <c r="H6" s="14">
        <f>SUMIF(Servicios!$I$5:$I$11,"Proyecto",Servicios!$H$5:$H$11)*D6/Cronograma!$F$21+IF(B6="Fase 6",SUMIF(Servicios!$I$5:$I$11,"Fase 6",Servicios!$H$5:$H$11)*D6/Cronograma!$F$23,0)</f>
        <v>28483.516483516483</v>
      </c>
      <c r="I6" s="14">
        <f t="shared" si="0"/>
        <v>2213926.3419487476</v>
      </c>
      <c r="J6" s="14">
        <f>I6*Supuestos!$B$33</f>
        <v>221392.63419487479</v>
      </c>
      <c r="K6" s="23">
        <f t="shared" si="1"/>
        <v>2435318.9761436223</v>
      </c>
      <c r="L6" s="24">
        <f t="shared" si="2"/>
        <v>6.9282736856637175E-2</v>
      </c>
    </row>
    <row r="7" spans="1:12" x14ac:dyDescent="0.3">
      <c r="A7" s="19" t="str">
        <f>Cronograma!A7</f>
        <v>S3</v>
      </c>
      <c r="B7" s="19" t="str">
        <f>Cronograma!B7</f>
        <v>Fases 1–5</v>
      </c>
      <c r="C7" s="20" t="str">
        <f>Cronograma!C7</f>
        <v>Diagramas, pagos (front) y documento DEA</v>
      </c>
      <c r="D7" s="21">
        <f>Cronograma!F7</f>
        <v>4.2857142857142856</v>
      </c>
      <c r="E7" s="22">
        <f>'Talento humano'!H7</f>
        <v>3899994.3801569855</v>
      </c>
      <c r="F7" s="14">
        <f>Hardware!$E$10*D7</f>
        <v>145021.97802197805</v>
      </c>
      <c r="G7" s="14">
        <f>'Software y licencias'!$G$15*D7/Cronograma!$F$21</f>
        <v>52688.939568345333</v>
      </c>
      <c r="H7" s="14">
        <f>SUMIF(Servicios!$I$5:$I$11,"Proyecto",Servicios!$H$5:$H$11)*D7/Cronograma!$F$21+IF(B7="Fase 6",SUMIF(Servicios!$I$5:$I$11,"Fase 6",Servicios!$H$5:$H$11)*D7/Cronograma!$F$23,0)</f>
        <v>53406.593406593405</v>
      </c>
      <c r="I7" s="14">
        <f t="shared" si="0"/>
        <v>4151111.8911539023</v>
      </c>
      <c r="J7" s="14">
        <f>I7*Supuestos!$B$33</f>
        <v>415111.18911539024</v>
      </c>
      <c r="K7" s="23">
        <f t="shared" si="1"/>
        <v>4566223.0802692929</v>
      </c>
      <c r="L7" s="24">
        <f t="shared" si="2"/>
        <v>0.12990513160619471</v>
      </c>
    </row>
    <row r="8" spans="1:12" x14ac:dyDescent="0.3">
      <c r="A8" s="19" t="str">
        <f>Cronograma!A8</f>
        <v>S4</v>
      </c>
      <c r="B8" s="19" t="str">
        <f>Cronograma!B8</f>
        <v>Fases 1–5</v>
      </c>
      <c r="C8" s="20" t="str">
        <f>Cronograma!C8</f>
        <v>Normalización de la base de datos</v>
      </c>
      <c r="D8" s="21">
        <f>Cronograma!F8</f>
        <v>4.4285714285714288</v>
      </c>
      <c r="E8" s="22">
        <f>'Talento humano'!H8</f>
        <v>4029994.1928288857</v>
      </c>
      <c r="F8" s="14">
        <f>Hardware!$E$10*D8</f>
        <v>149856.04395604401</v>
      </c>
      <c r="G8" s="14">
        <f>'Software y licencias'!$G$15*D8/Cronograma!$F$21</f>
        <v>54445.237553956846</v>
      </c>
      <c r="H8" s="14">
        <f>SUMIF(Servicios!$I$5:$I$11,"Proyecto",Servicios!$H$5:$H$11)*D8/Cronograma!$F$21+IF(B8="Fase 6",SUMIF(Servicios!$I$5:$I$11,"Fase 6",Servicios!$H$5:$H$11)*D8/Cronograma!$F$23,0)</f>
        <v>55186.81318681319</v>
      </c>
      <c r="I8" s="14">
        <f t="shared" si="0"/>
        <v>4289482.2875256995</v>
      </c>
      <c r="J8" s="14">
        <f>I8*Supuestos!$B$33</f>
        <v>428948.22875256999</v>
      </c>
      <c r="K8" s="23">
        <f t="shared" si="1"/>
        <v>4718430.5162782697</v>
      </c>
      <c r="L8" s="24">
        <f t="shared" si="2"/>
        <v>0.13423530265973455</v>
      </c>
    </row>
    <row r="9" spans="1:12" x14ac:dyDescent="0.3">
      <c r="A9" s="19" t="str">
        <f>Cronograma!A9</f>
        <v>S5</v>
      </c>
      <c r="B9" s="19" t="str">
        <f>Cronograma!B9</f>
        <v>Fases 1–5</v>
      </c>
      <c r="C9" s="20" t="str">
        <f>Cronograma!C9</f>
        <v>Migración a Laravel: autenticación</v>
      </c>
      <c r="D9" s="21">
        <f>Cronograma!F9</f>
        <v>2.2857142857142856</v>
      </c>
      <c r="E9" s="22">
        <f>'Talento humano'!H9</f>
        <v>2079997.0027503921</v>
      </c>
      <c r="F9" s="14">
        <f>Hardware!$E$10*D9</f>
        <v>77345.054945054959</v>
      </c>
      <c r="G9" s="14">
        <f>'Software y licencias'!$G$15*D9/Cronograma!$F$21</f>
        <v>28100.767769784175</v>
      </c>
      <c r="H9" s="14">
        <f>SUMIF(Servicios!$I$5:$I$11,"Proyecto",Servicios!$H$5:$H$11)*D9/Cronograma!$F$21+IF(B9="Fase 6",SUMIF(Servicios!$I$5:$I$11,"Fase 6",Servicios!$H$5:$H$11)*D9/Cronograma!$F$23,0)</f>
        <v>28483.516483516483</v>
      </c>
      <c r="I9" s="14">
        <f t="shared" si="0"/>
        <v>2213926.3419487476</v>
      </c>
      <c r="J9" s="14">
        <f>I9*Supuestos!$B$33</f>
        <v>221392.63419487479</v>
      </c>
      <c r="K9" s="23">
        <f t="shared" si="1"/>
        <v>2435318.9761436223</v>
      </c>
      <c r="L9" s="24">
        <f t="shared" si="2"/>
        <v>6.9282736856637175E-2</v>
      </c>
    </row>
    <row r="10" spans="1:12" x14ac:dyDescent="0.3">
      <c r="A10" s="19" t="str">
        <f>Cronograma!A10</f>
        <v>S6</v>
      </c>
      <c r="B10" s="19" t="str">
        <f>Cronograma!B10</f>
        <v>Fases 1–5</v>
      </c>
      <c r="C10" s="20" t="str">
        <f>Cronograma!C10</f>
        <v>Pasarela MercadoPago y chatbot</v>
      </c>
      <c r="D10" s="21">
        <f>Cronograma!F10</f>
        <v>4</v>
      </c>
      <c r="E10" s="22">
        <f>'Talento humano'!H10</f>
        <v>3639994.7548131868</v>
      </c>
      <c r="F10" s="14">
        <f>Hardware!$E$10*D10</f>
        <v>135353.84615384619</v>
      </c>
      <c r="G10" s="14">
        <f>'Software y licencias'!$G$15*D10/Cronograma!$F$21</f>
        <v>49176.343597122315</v>
      </c>
      <c r="H10" s="14">
        <f>SUMIF(Servicios!$I$5:$I$11,"Proyecto",Servicios!$H$5:$H$11)*D10/Cronograma!$F$21+IF(B10="Fase 6",SUMIF(Servicios!$I$5:$I$11,"Fase 6",Servicios!$H$5:$H$11)*D10/Cronograma!$F$23,0)</f>
        <v>49846.153846153851</v>
      </c>
      <c r="I10" s="14">
        <f t="shared" si="0"/>
        <v>3874371.0984103093</v>
      </c>
      <c r="J10" s="14">
        <f>I10*Supuestos!$B$33</f>
        <v>387437.10984103096</v>
      </c>
      <c r="K10" s="23">
        <f t="shared" si="1"/>
        <v>4261808.2082513403</v>
      </c>
      <c r="L10" s="24">
        <f t="shared" si="2"/>
        <v>0.12124478949911509</v>
      </c>
    </row>
    <row r="11" spans="1:12" x14ac:dyDescent="0.3">
      <c r="A11" s="19" t="str">
        <f>Cronograma!A11</f>
        <v>S7</v>
      </c>
      <c r="B11" s="19" t="str">
        <f>Cronograma!B11</f>
        <v>Fases 1–5</v>
      </c>
      <c r="C11" s="20" t="str">
        <f>Cronograma!C11</f>
        <v>Receso y transición (sin sprint formal)</v>
      </c>
      <c r="D11" s="21">
        <f>Cronograma!F11</f>
        <v>4.5714285714285712</v>
      </c>
      <c r="E11" s="22">
        <f>'Talento humano'!H11</f>
        <v>1247998.2016502353</v>
      </c>
      <c r="F11" s="14">
        <f>Hardware!$E$10*D11</f>
        <v>154690.10989010992</v>
      </c>
      <c r="G11" s="14">
        <f>'Software y licencias'!$G$15*D11/Cronograma!$F$21</f>
        <v>56201.535539568351</v>
      </c>
      <c r="H11" s="14">
        <f>SUMIF(Servicios!$I$5:$I$11,"Proyecto",Servicios!$H$5:$H$11)*D11/Cronograma!$F$21+IF(B11="Fase 6",SUMIF(Servicios!$I$5:$I$11,"Fase 6",Servicios!$H$5:$H$11)*D11/Cronograma!$F$23,0)</f>
        <v>56967.032967032967</v>
      </c>
      <c r="I11" s="14">
        <f t="shared" si="0"/>
        <v>1515856.8800469465</v>
      </c>
      <c r="J11" s="14">
        <f>I11*Supuestos!$B$33</f>
        <v>151585.68800469465</v>
      </c>
      <c r="K11" s="23">
        <f t="shared" si="1"/>
        <v>1667442.5680516411</v>
      </c>
      <c r="L11" s="24">
        <f t="shared" si="2"/>
        <v>4.743731141487402E-2</v>
      </c>
    </row>
    <row r="12" spans="1:12" x14ac:dyDescent="0.3">
      <c r="A12" s="19" t="str">
        <f>Cronograma!A12</f>
        <v>S8</v>
      </c>
      <c r="B12" s="19" t="str">
        <f>Cronograma!B12</f>
        <v>Fases 1–5</v>
      </c>
      <c r="C12" s="20" t="str">
        <f>Cronograma!C12</f>
        <v>Migración a Spring Boot: entidades y DAO</v>
      </c>
      <c r="D12" s="21">
        <f>Cronograma!F12</f>
        <v>2.2857142857142856</v>
      </c>
      <c r="E12" s="22">
        <f>'Talento humano'!H12</f>
        <v>2079997.0027503921</v>
      </c>
      <c r="F12" s="14">
        <f>Hardware!$E$10*D12</f>
        <v>77345.054945054959</v>
      </c>
      <c r="G12" s="14">
        <f>'Software y licencias'!$G$15*D12/Cronograma!$F$21</f>
        <v>28100.767769784175</v>
      </c>
      <c r="H12" s="14">
        <f>SUMIF(Servicios!$I$5:$I$11,"Proyecto",Servicios!$H$5:$H$11)*D12/Cronograma!$F$21+IF(B12="Fase 6",SUMIF(Servicios!$I$5:$I$11,"Fase 6",Servicios!$H$5:$H$11)*D12/Cronograma!$F$23,0)</f>
        <v>28483.516483516483</v>
      </c>
      <c r="I12" s="14">
        <f t="shared" si="0"/>
        <v>2213926.3419487476</v>
      </c>
      <c r="J12" s="14">
        <f>I12*Supuestos!$B$33</f>
        <v>221392.63419487479</v>
      </c>
      <c r="K12" s="23">
        <f t="shared" si="1"/>
        <v>2435318.9761436223</v>
      </c>
      <c r="L12" s="24">
        <f t="shared" si="2"/>
        <v>6.9282736856637175E-2</v>
      </c>
    </row>
    <row r="13" spans="1:12" x14ac:dyDescent="0.3">
      <c r="A13" s="19" t="str">
        <f>Cronograma!A13</f>
        <v>S9</v>
      </c>
      <c r="B13" s="19" t="str">
        <f>Cronograma!B13</f>
        <v>Fases 1–5</v>
      </c>
      <c r="C13" s="20" t="str">
        <f>Cronograma!C13</f>
        <v>Servicios, controladores y reportes</v>
      </c>
      <c r="D13" s="21">
        <f>Cronograma!F13</f>
        <v>2</v>
      </c>
      <c r="E13" s="22">
        <f>'Talento humano'!H13</f>
        <v>1819997.3774065934</v>
      </c>
      <c r="F13" s="14">
        <f>Hardware!$E$10*D13</f>
        <v>67676.923076923093</v>
      </c>
      <c r="G13" s="14">
        <f>'Software y licencias'!$G$15*D13/Cronograma!$F$21</f>
        <v>24588.171798561158</v>
      </c>
      <c r="H13" s="14">
        <f>SUMIF(Servicios!$I$5:$I$11,"Proyecto",Servicios!$H$5:$H$11)*D13/Cronograma!$F$21+IF(B13="Fase 6",SUMIF(Servicios!$I$5:$I$11,"Fase 6",Servicios!$H$5:$H$11)*D13/Cronograma!$F$23,0)</f>
        <v>24923.076923076926</v>
      </c>
      <c r="I13" s="14">
        <f t="shared" si="0"/>
        <v>1937185.5492051546</v>
      </c>
      <c r="J13" s="14">
        <f>I13*Supuestos!$B$33</f>
        <v>193718.55492051548</v>
      </c>
      <c r="K13" s="23">
        <f t="shared" si="1"/>
        <v>2130904.1041256702</v>
      </c>
      <c r="L13" s="24">
        <f t="shared" si="2"/>
        <v>6.0622394749557544E-2</v>
      </c>
    </row>
    <row r="14" spans="1:12" x14ac:dyDescent="0.3">
      <c r="A14" s="19" t="str">
        <f>Cronograma!A14</f>
        <v>S10</v>
      </c>
      <c r="B14" s="19" t="str">
        <f>Cronograma!B14</f>
        <v>Fases 1–5</v>
      </c>
      <c r="C14" s="20" t="str">
        <f>Cronograma!C14</f>
        <v>Planeación de fase 6 (sin commits)</v>
      </c>
      <c r="D14" s="21">
        <f>Cronograma!F14</f>
        <v>4.8571428571428568</v>
      </c>
      <c r="E14" s="22">
        <f>'Talento humano'!H14</f>
        <v>662999.04462668742</v>
      </c>
      <c r="F14" s="14">
        <f>Hardware!$E$10*D14</f>
        <v>164358.24175824178</v>
      </c>
      <c r="G14" s="14">
        <f>'Software y licencias'!$G$15*D14/Cronograma!$F$21</f>
        <v>59714.131510791376</v>
      </c>
      <c r="H14" s="14">
        <f>SUMIF(Servicios!$I$5:$I$11,"Proyecto",Servicios!$H$5:$H$11)*D14/Cronograma!$F$21+IF(B14="Fase 6",SUMIF(Servicios!$I$5:$I$11,"Fase 6",Servicios!$H$5:$H$11)*D14/Cronograma!$F$23,0)</f>
        <v>60527.472527472528</v>
      </c>
      <c r="I14" s="14">
        <f t="shared" si="0"/>
        <v>947598.89042319311</v>
      </c>
      <c r="J14" s="14">
        <f>I14*Supuestos!$B$33</f>
        <v>94759.889042319322</v>
      </c>
      <c r="K14" s="23">
        <f t="shared" si="1"/>
        <v>1042358.7794655124</v>
      </c>
      <c r="L14" s="24">
        <f t="shared" si="2"/>
        <v>2.9654213569292855E-2</v>
      </c>
    </row>
    <row r="15" spans="1:12" x14ac:dyDescent="0.3">
      <c r="A15" s="19" t="str">
        <f>Cronograma!A15</f>
        <v>F6-1</v>
      </c>
      <c r="B15" s="19" t="str">
        <f>Cronograma!B15</f>
        <v>Fase 6</v>
      </c>
      <c r="C15" s="20" t="str">
        <f>Cronograma!C15</f>
        <v>Estabilizar</v>
      </c>
      <c r="D15" s="21">
        <f>Cronograma!F15</f>
        <v>1</v>
      </c>
      <c r="E15" s="22">
        <f>'Talento humano'!H15</f>
        <v>909998.68870329671</v>
      </c>
      <c r="F15" s="14">
        <f>Hardware!$E$10*D15</f>
        <v>33838.461538461546</v>
      </c>
      <c r="G15" s="14">
        <f>'Software y licencias'!$G$15*D15/Cronograma!$F$21</f>
        <v>12294.085899280579</v>
      </c>
      <c r="H15" s="14">
        <f>SUMIF(Servicios!$I$5:$I$11,"Proyecto",Servicios!$H$5:$H$11)*D15/Cronograma!$F$21+IF(B15="Fase 6",SUMIF(Servicios!$I$5:$I$11,"Fase 6",Servicios!$H$5:$H$11)*D15/Cronograma!$F$23,0)</f>
        <v>38623.117561538464</v>
      </c>
      <c r="I15" s="14">
        <f t="shared" si="0"/>
        <v>994754.3537025773</v>
      </c>
      <c r="J15" s="14">
        <f>I15*Supuestos!$B$33</f>
        <v>99475.435370257735</v>
      </c>
      <c r="K15" s="23">
        <f t="shared" si="1"/>
        <v>1094229.7890728351</v>
      </c>
      <c r="L15" s="24">
        <f t="shared" si="2"/>
        <v>3.1129899319010553E-2</v>
      </c>
    </row>
    <row r="16" spans="1:12" x14ac:dyDescent="0.3">
      <c r="A16" s="19" t="str">
        <f>Cronograma!A16</f>
        <v>F6-2</v>
      </c>
      <c r="B16" s="19" t="str">
        <f>Cronograma!B16</f>
        <v>Fase 6</v>
      </c>
      <c r="C16" s="20" t="str">
        <f>Cronograma!C16</f>
        <v>Servicio Python</v>
      </c>
      <c r="D16" s="21">
        <f>Cronograma!F16</f>
        <v>1</v>
      </c>
      <c r="E16" s="22">
        <f>'Talento humano'!H16</f>
        <v>909998.68870329671</v>
      </c>
      <c r="F16" s="14">
        <f>Hardware!$E$10*D16</f>
        <v>33838.461538461546</v>
      </c>
      <c r="G16" s="14">
        <f>'Software y licencias'!$G$15*D16/Cronograma!$F$21</f>
        <v>12294.085899280579</v>
      </c>
      <c r="H16" s="14">
        <f>SUMIF(Servicios!$I$5:$I$11,"Proyecto",Servicios!$H$5:$H$11)*D16/Cronograma!$F$21+IF(B16="Fase 6",SUMIF(Servicios!$I$5:$I$11,"Fase 6",Servicios!$H$5:$H$11)*D16/Cronograma!$F$23,0)</f>
        <v>38623.117561538464</v>
      </c>
      <c r="I16" s="14">
        <f t="shared" si="0"/>
        <v>994754.3537025773</v>
      </c>
      <c r="J16" s="14">
        <f>I16*Supuestos!$B$33</f>
        <v>99475.435370257735</v>
      </c>
      <c r="K16" s="23">
        <f t="shared" si="1"/>
        <v>1094229.7890728351</v>
      </c>
      <c r="L16" s="24">
        <f t="shared" si="2"/>
        <v>3.1129899319010553E-2</v>
      </c>
    </row>
    <row r="17" spans="1:12" x14ac:dyDescent="0.3">
      <c r="A17" s="19" t="str">
        <f>Cronograma!A17</f>
        <v>F6-3</v>
      </c>
      <c r="B17" s="19" t="str">
        <f>Cronograma!B17</f>
        <v>Fase 6</v>
      </c>
      <c r="C17" s="20" t="str">
        <f>Cronograma!C17</f>
        <v>IA, mapa e integración</v>
      </c>
      <c r="D17" s="21">
        <f>Cronograma!F17</f>
        <v>1</v>
      </c>
      <c r="E17" s="22">
        <f>'Talento humano'!H17</f>
        <v>909998.68870329671</v>
      </c>
      <c r="F17" s="14">
        <f>Hardware!$E$10*D17</f>
        <v>33838.461538461546</v>
      </c>
      <c r="G17" s="14">
        <f>'Software y licencias'!$G$15*D17/Cronograma!$F$21</f>
        <v>12294.085899280579</v>
      </c>
      <c r="H17" s="14">
        <f>SUMIF(Servicios!$I$5:$I$11,"Proyecto",Servicios!$H$5:$H$11)*D17/Cronograma!$F$21+IF(B17="Fase 6",SUMIF(Servicios!$I$5:$I$11,"Fase 6",Servicios!$H$5:$H$11)*D17/Cronograma!$F$23,0)</f>
        <v>38623.117561538464</v>
      </c>
      <c r="I17" s="14">
        <f t="shared" si="0"/>
        <v>994754.3537025773</v>
      </c>
      <c r="J17" s="14">
        <f>I17*Supuestos!$B$33</f>
        <v>99475.435370257735</v>
      </c>
      <c r="K17" s="23">
        <f t="shared" si="1"/>
        <v>1094229.7890728351</v>
      </c>
      <c r="L17" s="24">
        <f t="shared" si="2"/>
        <v>3.1129899319010553E-2</v>
      </c>
    </row>
    <row r="18" spans="1:12" x14ac:dyDescent="0.3">
      <c r="A18" s="19" t="str">
        <f>Cronograma!A18</f>
        <v>F6-4</v>
      </c>
      <c r="B18" s="19" t="str">
        <f>Cronograma!B18</f>
        <v>Fase 6</v>
      </c>
      <c r="C18" s="20" t="str">
        <f>Cronograma!C18</f>
        <v>Demostración y calidad</v>
      </c>
      <c r="D18" s="21">
        <f>Cronograma!F18</f>
        <v>1</v>
      </c>
      <c r="E18" s="22">
        <f>'Talento humano'!H18</f>
        <v>909998.68870329671</v>
      </c>
      <c r="F18" s="14">
        <f>Hardware!$E$10*D18</f>
        <v>33838.461538461546</v>
      </c>
      <c r="G18" s="14">
        <f>'Software y licencias'!$G$15*D18/Cronograma!$F$21</f>
        <v>12294.085899280579</v>
      </c>
      <c r="H18" s="14">
        <f>SUMIF(Servicios!$I$5:$I$11,"Proyecto",Servicios!$H$5:$H$11)*D18/Cronograma!$F$21+IF(B18="Fase 6",SUMIF(Servicios!$I$5:$I$11,"Fase 6",Servicios!$H$5:$H$11)*D18/Cronograma!$F$23,0)</f>
        <v>38623.117561538464</v>
      </c>
      <c r="I18" s="14">
        <f t="shared" si="0"/>
        <v>994754.3537025773</v>
      </c>
      <c r="J18" s="14">
        <f>I18*Supuestos!$B$33</f>
        <v>99475.435370257735</v>
      </c>
      <c r="K18" s="23">
        <f t="shared" si="1"/>
        <v>1094229.7890728351</v>
      </c>
      <c r="L18" s="24">
        <f t="shared" si="2"/>
        <v>3.1129899319010553E-2</v>
      </c>
    </row>
    <row r="19" spans="1:12" x14ac:dyDescent="0.3">
      <c r="A19" s="19" t="str">
        <f>Cronograma!A19</f>
        <v>F6-5</v>
      </c>
      <c r="B19" s="19" t="str">
        <f>Cronograma!B19</f>
        <v>Fase 6</v>
      </c>
      <c r="C19" s="20" t="str">
        <f>Cronograma!C19</f>
        <v>Extras</v>
      </c>
      <c r="D19" s="21">
        <f>Cronograma!F19</f>
        <v>1</v>
      </c>
      <c r="E19" s="22">
        <f>'Talento humano'!H19</f>
        <v>909998.68870329671</v>
      </c>
      <c r="F19" s="14">
        <f>Hardware!$E$10*D19</f>
        <v>33838.461538461546</v>
      </c>
      <c r="G19" s="14">
        <f>'Software y licencias'!$G$15*D19/Cronograma!$F$21</f>
        <v>12294.085899280579</v>
      </c>
      <c r="H19" s="14">
        <f>SUMIF(Servicios!$I$5:$I$11,"Proyecto",Servicios!$H$5:$H$11)*D19/Cronograma!$F$21+IF(B19="Fase 6",SUMIF(Servicios!$I$5:$I$11,"Fase 6",Servicios!$H$5:$H$11)*D19/Cronograma!$F$23,0)</f>
        <v>38623.117561538464</v>
      </c>
      <c r="I19" s="14">
        <f t="shared" si="0"/>
        <v>994754.3537025773</v>
      </c>
      <c r="J19" s="14">
        <f>I19*Supuestos!$B$33</f>
        <v>99475.435370257735</v>
      </c>
      <c r="K19" s="23">
        <f t="shared" si="1"/>
        <v>1094229.7890728351</v>
      </c>
      <c r="L19" s="24">
        <f t="shared" si="2"/>
        <v>3.1129899319010553E-2</v>
      </c>
    </row>
    <row r="20" spans="1:12" x14ac:dyDescent="0.3">
      <c r="A20" s="19" t="str">
        <f>Cronograma!A20</f>
        <v>F6-6</v>
      </c>
      <c r="B20" s="19" t="str">
        <f>Cronograma!B20</f>
        <v>Fase 6</v>
      </c>
      <c r="C20" s="20" t="str">
        <f>Cronograma!C20</f>
        <v>Documentar y ensayar</v>
      </c>
      <c r="D20" s="21">
        <f>Cronograma!F20</f>
        <v>1</v>
      </c>
      <c r="E20" s="22">
        <f>'Talento humano'!H20</f>
        <v>909998.68870329671</v>
      </c>
      <c r="F20" s="14">
        <f>Hardware!$E$10*D20</f>
        <v>33838.461538461546</v>
      </c>
      <c r="G20" s="14">
        <f>'Software y licencias'!$G$15*D20/Cronograma!$F$21</f>
        <v>12294.085899280579</v>
      </c>
      <c r="H20" s="14">
        <f>SUMIF(Servicios!$I$5:$I$11,"Proyecto",Servicios!$H$5:$H$11)*D20/Cronograma!$F$21+IF(B20="Fase 6",SUMIF(Servicios!$I$5:$I$11,"Fase 6",Servicios!$H$5:$H$11)*D20/Cronograma!$F$23,0)</f>
        <v>38623.117561538464</v>
      </c>
      <c r="I20" s="14">
        <f t="shared" si="0"/>
        <v>994754.3537025773</v>
      </c>
      <c r="J20" s="14">
        <f>I20*Supuestos!$B$33</f>
        <v>99475.435370257735</v>
      </c>
      <c r="K20" s="23">
        <f t="shared" si="1"/>
        <v>1094229.7890728351</v>
      </c>
      <c r="L20" s="24">
        <f t="shared" si="2"/>
        <v>3.1129899319010553E-2</v>
      </c>
    </row>
    <row r="21" spans="1:12" x14ac:dyDescent="0.3">
      <c r="C21" s="25" t="s">
        <v>95</v>
      </c>
      <c r="D21" s="26">
        <f t="shared" ref="D21:L21" si="3">SUM(D5:D20)</f>
        <v>39.714285714285708</v>
      </c>
      <c r="E21" s="27">
        <f t="shared" si="3"/>
        <v>29470957.532719634</v>
      </c>
      <c r="F21" s="27">
        <f t="shared" si="3"/>
        <v>1343870.3296703296</v>
      </c>
      <c r="G21" s="27">
        <f t="shared" si="3"/>
        <v>488250.84</v>
      </c>
      <c r="H21" s="27">
        <f t="shared" si="3"/>
        <v>651870.5735010989</v>
      </c>
      <c r="I21" s="27">
        <f t="shared" si="3"/>
        <v>31954949.275891054</v>
      </c>
      <c r="J21" s="27">
        <f t="shared" si="3"/>
        <v>3195494.9275891045</v>
      </c>
      <c r="K21" s="27">
        <f t="shared" si="3"/>
        <v>35150444.203480147</v>
      </c>
      <c r="L21" s="28">
        <f t="shared" si="3"/>
        <v>1.0000000000000002</v>
      </c>
    </row>
    <row r="23" spans="1:12" x14ac:dyDescent="0.3">
      <c r="C23" s="11" t="s">
        <v>96</v>
      </c>
    </row>
    <row r="24" spans="1:12" x14ac:dyDescent="0.3">
      <c r="C24" s="4" t="s">
        <v>97</v>
      </c>
      <c r="E24" s="14">
        <f t="shared" ref="E24:K24" si="4">SUMIF($B$5:$B$20,"Fases 1–5",E$5:E$20)</f>
        <v>24010965.400499843</v>
      </c>
      <c r="F24" s="14">
        <f t="shared" si="4"/>
        <v>1140839.5604395606</v>
      </c>
      <c r="G24" s="14">
        <f t="shared" si="4"/>
        <v>414486.32460431667</v>
      </c>
      <c r="H24" s="14">
        <f t="shared" si="4"/>
        <v>420131.86813186813</v>
      </c>
      <c r="I24" s="14">
        <f t="shared" si="4"/>
        <v>25986423.153675582</v>
      </c>
      <c r="J24" s="14">
        <f t="shared" si="4"/>
        <v>2598642.315367559</v>
      </c>
      <c r="K24" s="23">
        <f t="shared" si="4"/>
        <v>28585065.469043139</v>
      </c>
    </row>
    <row r="25" spans="1:12" x14ac:dyDescent="0.3">
      <c r="C25" s="4" t="s">
        <v>98</v>
      </c>
      <c r="E25" s="14">
        <f t="shared" ref="E25:K25" si="5">SUMIF($B$5:$B$20,"Fase 6",E$5:E$20)</f>
        <v>5459992.1322197802</v>
      </c>
      <c r="F25" s="14">
        <f t="shared" si="5"/>
        <v>203030.76923076931</v>
      </c>
      <c r="G25" s="14">
        <f t="shared" si="5"/>
        <v>73764.515395683469</v>
      </c>
      <c r="H25" s="14">
        <f t="shared" si="5"/>
        <v>231738.7053692308</v>
      </c>
      <c r="I25" s="14">
        <f t="shared" si="5"/>
        <v>5968526.1222154628</v>
      </c>
      <c r="J25" s="14">
        <f t="shared" si="5"/>
        <v>596852.61222154635</v>
      </c>
      <c r="K25" s="23">
        <f t="shared" si="5"/>
        <v>6565378.7344370103</v>
      </c>
    </row>
    <row r="27" spans="1:12" x14ac:dyDescent="0.3">
      <c r="C27" s="11" t="s">
        <v>99</v>
      </c>
    </row>
    <row r="28" spans="1:12" x14ac:dyDescent="0.3">
      <c r="C28" s="4" t="s">
        <v>100</v>
      </c>
      <c r="E28" s="4" t="str">
        <f>IF(ABS(E21-'Talento humano'!H21)&lt;1,"OK","REVISAR")</f>
        <v>OK</v>
      </c>
    </row>
    <row r="29" spans="1:12" x14ac:dyDescent="0.3">
      <c r="C29" s="4" t="s">
        <v>101</v>
      </c>
      <c r="E29" s="4" t="str">
        <f>IF(ABS(F21-Hardware!G8)&lt;1,"OK","REVISAR")</f>
        <v>OK</v>
      </c>
    </row>
    <row r="30" spans="1:12" x14ac:dyDescent="0.3">
      <c r="C30" s="4" t="s">
        <v>102</v>
      </c>
      <c r="E30" s="4" t="str">
        <f>IF(ABS(H21-Servicios!H12)&lt;1,"OK","REVISAR")</f>
        <v>OK</v>
      </c>
    </row>
    <row r="31" spans="1:12" x14ac:dyDescent="0.3">
      <c r="C31" s="4" t="s">
        <v>103</v>
      </c>
      <c r="E31" s="4" t="str">
        <f>IF(ABS(G21-'Software y licencias'!$G$15)&lt;1,"OK","REVISAR")</f>
        <v>OK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7643B"/>
    <pageSetUpPr fitToPage="1"/>
  </sheetPr>
  <dimension ref="A1:J2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" customWidth="1"/>
    <col min="2" max="2" width="11" customWidth="1"/>
    <col min="3" max="3" width="34" customWidth="1"/>
    <col min="4" max="5" width="12" customWidth="1"/>
    <col min="6" max="6" width="9" customWidth="1"/>
    <col min="7" max="7" width="11" customWidth="1"/>
    <col min="8" max="8" width="13" customWidth="1"/>
    <col min="9" max="9" width="12" customWidth="1"/>
    <col min="10" max="10" width="80" customWidth="1"/>
  </cols>
  <sheetData>
    <row r="1" spans="1:10" ht="17.399999999999999" x14ac:dyDescent="0.3">
      <c r="A1" s="1" t="s">
        <v>104</v>
      </c>
    </row>
    <row r="2" spans="1:10" x14ac:dyDescent="0.3">
      <c r="A2" s="2" t="s">
        <v>105</v>
      </c>
    </row>
    <row r="4" spans="1:10" ht="30" customHeight="1" x14ac:dyDescent="0.3">
      <c r="A4" s="3" t="s">
        <v>84</v>
      </c>
      <c r="B4" s="3" t="s">
        <v>85</v>
      </c>
      <c r="C4" s="3" t="s">
        <v>86</v>
      </c>
      <c r="D4" s="3" t="s">
        <v>106</v>
      </c>
      <c r="E4" s="3" t="s">
        <v>107</v>
      </c>
      <c r="F4" s="3" t="s">
        <v>87</v>
      </c>
      <c r="G4" s="3" t="s">
        <v>108</v>
      </c>
      <c r="H4" s="3" t="s">
        <v>109</v>
      </c>
      <c r="I4" s="3" t="s">
        <v>110</v>
      </c>
      <c r="J4" s="3" t="s">
        <v>111</v>
      </c>
    </row>
    <row r="5" spans="1:10" x14ac:dyDescent="0.3">
      <c r="A5" s="11" t="s">
        <v>112</v>
      </c>
      <c r="B5" s="4" t="s">
        <v>97</v>
      </c>
      <c r="C5" s="6" t="s">
        <v>113</v>
      </c>
      <c r="D5" s="29">
        <v>46078</v>
      </c>
      <c r="E5" s="29">
        <v>46096</v>
      </c>
      <c r="F5" s="30">
        <f t="shared" ref="F5:F20" si="0">(E5-D5+1)/7</f>
        <v>2.7142857142857144</v>
      </c>
      <c r="G5" s="8">
        <v>4</v>
      </c>
      <c r="H5" s="31">
        <f>Supuestos!$B$27</f>
        <v>10</v>
      </c>
      <c r="I5" s="32">
        <f t="shared" ref="I5:I20" si="1">F5*G5*H5</f>
        <v>108.57142857142858</v>
      </c>
      <c r="J5" s="6" t="s">
        <v>114</v>
      </c>
    </row>
    <row r="6" spans="1:10" ht="26.4" x14ac:dyDescent="0.3">
      <c r="A6" s="11" t="s">
        <v>115</v>
      </c>
      <c r="B6" s="4" t="s">
        <v>97</v>
      </c>
      <c r="C6" s="6" t="s">
        <v>116</v>
      </c>
      <c r="D6" s="29">
        <v>46097</v>
      </c>
      <c r="E6" s="29">
        <v>46112</v>
      </c>
      <c r="F6" s="30">
        <f t="shared" si="0"/>
        <v>2.2857142857142856</v>
      </c>
      <c r="G6" s="8">
        <v>4</v>
      </c>
      <c r="H6" s="31">
        <f>Supuestos!$B$27</f>
        <v>10</v>
      </c>
      <c r="I6" s="32">
        <f t="shared" si="1"/>
        <v>91.428571428571416</v>
      </c>
      <c r="J6" s="6" t="s">
        <v>117</v>
      </c>
    </row>
    <row r="7" spans="1:10" ht="26.4" x14ac:dyDescent="0.3">
      <c r="A7" s="11" t="s">
        <v>118</v>
      </c>
      <c r="B7" s="4" t="s">
        <v>97</v>
      </c>
      <c r="C7" s="6" t="s">
        <v>119</v>
      </c>
      <c r="D7" s="29">
        <v>46113</v>
      </c>
      <c r="E7" s="29">
        <v>46142</v>
      </c>
      <c r="F7" s="30">
        <f t="shared" si="0"/>
        <v>4.2857142857142856</v>
      </c>
      <c r="G7" s="8">
        <v>4</v>
      </c>
      <c r="H7" s="31">
        <f>Supuestos!$B$27</f>
        <v>10</v>
      </c>
      <c r="I7" s="32">
        <f t="shared" si="1"/>
        <v>171.42857142857142</v>
      </c>
      <c r="J7" s="6" t="s">
        <v>120</v>
      </c>
    </row>
    <row r="8" spans="1:10" x14ac:dyDescent="0.3">
      <c r="A8" s="11" t="s">
        <v>121</v>
      </c>
      <c r="B8" s="4" t="s">
        <v>97</v>
      </c>
      <c r="C8" s="6" t="s">
        <v>122</v>
      </c>
      <c r="D8" s="29">
        <v>46143</v>
      </c>
      <c r="E8" s="29">
        <v>46173</v>
      </c>
      <c r="F8" s="30">
        <f t="shared" si="0"/>
        <v>4.4285714285714288</v>
      </c>
      <c r="G8" s="8">
        <v>4</v>
      </c>
      <c r="H8" s="31">
        <f>Supuestos!$B$27</f>
        <v>10</v>
      </c>
      <c r="I8" s="32">
        <f t="shared" si="1"/>
        <v>177.14285714285717</v>
      </c>
      <c r="J8" s="6" t="s">
        <v>123</v>
      </c>
    </row>
    <row r="9" spans="1:10" x14ac:dyDescent="0.3">
      <c r="A9" s="11" t="s">
        <v>124</v>
      </c>
      <c r="B9" s="4" t="s">
        <v>97</v>
      </c>
      <c r="C9" s="6" t="s">
        <v>125</v>
      </c>
      <c r="D9" s="29">
        <v>46174</v>
      </c>
      <c r="E9" s="29">
        <v>46189</v>
      </c>
      <c r="F9" s="30">
        <f t="shared" si="0"/>
        <v>2.2857142857142856</v>
      </c>
      <c r="G9" s="8">
        <v>4</v>
      </c>
      <c r="H9" s="31">
        <f>Supuestos!$B$27</f>
        <v>10</v>
      </c>
      <c r="I9" s="32">
        <f t="shared" si="1"/>
        <v>91.428571428571416</v>
      </c>
      <c r="J9" s="6" t="s">
        <v>126</v>
      </c>
    </row>
    <row r="10" spans="1:10" x14ac:dyDescent="0.3">
      <c r="A10" s="11" t="s">
        <v>127</v>
      </c>
      <c r="B10" s="4" t="s">
        <v>97</v>
      </c>
      <c r="C10" s="6" t="s">
        <v>128</v>
      </c>
      <c r="D10" s="29">
        <v>46190</v>
      </c>
      <c r="E10" s="29">
        <v>46217</v>
      </c>
      <c r="F10" s="30">
        <f t="shared" si="0"/>
        <v>4</v>
      </c>
      <c r="G10" s="8">
        <v>4</v>
      </c>
      <c r="H10" s="31">
        <f>Supuestos!$B$27</f>
        <v>10</v>
      </c>
      <c r="I10" s="32">
        <f t="shared" si="1"/>
        <v>160</v>
      </c>
      <c r="J10" s="6" t="s">
        <v>129</v>
      </c>
    </row>
    <row r="11" spans="1:10" x14ac:dyDescent="0.3">
      <c r="A11" s="11" t="s">
        <v>130</v>
      </c>
      <c r="B11" s="4" t="s">
        <v>97</v>
      </c>
      <c r="C11" s="6" t="s">
        <v>131</v>
      </c>
      <c r="D11" s="29">
        <v>46218</v>
      </c>
      <c r="E11" s="29">
        <v>46249</v>
      </c>
      <c r="F11" s="30">
        <f t="shared" si="0"/>
        <v>4.5714285714285712</v>
      </c>
      <c r="G11" s="8">
        <v>4</v>
      </c>
      <c r="H11" s="31">
        <f>Supuestos!$B$29</f>
        <v>3</v>
      </c>
      <c r="I11" s="32">
        <f t="shared" si="1"/>
        <v>54.857142857142854</v>
      </c>
      <c r="J11" s="6" t="s">
        <v>132</v>
      </c>
    </row>
    <row r="12" spans="1:10" ht="26.4" x14ac:dyDescent="0.3">
      <c r="A12" s="11" t="s">
        <v>133</v>
      </c>
      <c r="B12" s="4" t="s">
        <v>97</v>
      </c>
      <c r="C12" s="6" t="s">
        <v>134</v>
      </c>
      <c r="D12" s="29">
        <v>46250</v>
      </c>
      <c r="E12" s="29">
        <v>46265</v>
      </c>
      <c r="F12" s="30">
        <f t="shared" si="0"/>
        <v>2.2857142857142856</v>
      </c>
      <c r="G12" s="8">
        <v>4</v>
      </c>
      <c r="H12" s="31">
        <f>Supuestos!$B$27</f>
        <v>10</v>
      </c>
      <c r="I12" s="32">
        <f t="shared" si="1"/>
        <v>91.428571428571416</v>
      </c>
      <c r="J12" s="6" t="s">
        <v>135</v>
      </c>
    </row>
    <row r="13" spans="1:10" x14ac:dyDescent="0.3">
      <c r="A13" s="11" t="s">
        <v>136</v>
      </c>
      <c r="B13" s="4" t="s">
        <v>97</v>
      </c>
      <c r="C13" s="6" t="s">
        <v>137</v>
      </c>
      <c r="D13" s="29">
        <v>46266</v>
      </c>
      <c r="E13" s="29">
        <v>46279</v>
      </c>
      <c r="F13" s="30">
        <f t="shared" si="0"/>
        <v>2</v>
      </c>
      <c r="G13" s="8">
        <v>4</v>
      </c>
      <c r="H13" s="31">
        <f>Supuestos!$B$27</f>
        <v>10</v>
      </c>
      <c r="I13" s="32">
        <f t="shared" si="1"/>
        <v>80</v>
      </c>
      <c r="J13" s="6" t="s">
        <v>138</v>
      </c>
    </row>
    <row r="14" spans="1:10" ht="26.4" x14ac:dyDescent="0.3">
      <c r="A14" s="11" t="s">
        <v>139</v>
      </c>
      <c r="B14" s="4" t="s">
        <v>97</v>
      </c>
      <c r="C14" s="6" t="s">
        <v>140</v>
      </c>
      <c r="D14" s="29">
        <v>46280</v>
      </c>
      <c r="E14" s="29">
        <v>46313</v>
      </c>
      <c r="F14" s="30">
        <f t="shared" si="0"/>
        <v>4.8571428571428568</v>
      </c>
      <c r="G14" s="8">
        <v>2</v>
      </c>
      <c r="H14" s="31">
        <f>Supuestos!$B$29</f>
        <v>3</v>
      </c>
      <c r="I14" s="32">
        <f t="shared" si="1"/>
        <v>29.142857142857139</v>
      </c>
      <c r="J14" s="6" t="s">
        <v>141</v>
      </c>
    </row>
    <row r="15" spans="1:10" x14ac:dyDescent="0.3">
      <c r="A15" s="11" t="s">
        <v>142</v>
      </c>
      <c r="B15" s="4" t="s">
        <v>98</v>
      </c>
      <c r="C15" s="6" t="s">
        <v>143</v>
      </c>
      <c r="D15" s="29">
        <v>46314</v>
      </c>
      <c r="E15" s="33">
        <f t="shared" ref="E15:E20" si="2">D15+6</f>
        <v>46320</v>
      </c>
      <c r="F15" s="30">
        <f t="shared" si="0"/>
        <v>1</v>
      </c>
      <c r="G15" s="8">
        <v>2</v>
      </c>
      <c r="H15" s="31">
        <f>Supuestos!$B$28</f>
        <v>20</v>
      </c>
      <c r="I15" s="32">
        <f t="shared" si="1"/>
        <v>40</v>
      </c>
      <c r="J15" s="6" t="s">
        <v>144</v>
      </c>
    </row>
    <row r="16" spans="1:10" ht="26.4" x14ac:dyDescent="0.3">
      <c r="A16" s="11" t="s">
        <v>145</v>
      </c>
      <c r="B16" s="4" t="s">
        <v>98</v>
      </c>
      <c r="C16" s="6" t="s">
        <v>146</v>
      </c>
      <c r="D16" s="33">
        <f>E15+1</f>
        <v>46321</v>
      </c>
      <c r="E16" s="33">
        <f t="shared" si="2"/>
        <v>46327</v>
      </c>
      <c r="F16" s="30">
        <f t="shared" si="0"/>
        <v>1</v>
      </c>
      <c r="G16" s="8">
        <v>2</v>
      </c>
      <c r="H16" s="31">
        <f>Supuestos!$B$28</f>
        <v>20</v>
      </c>
      <c r="I16" s="32">
        <f t="shared" si="1"/>
        <v>40</v>
      </c>
      <c r="J16" s="6" t="s">
        <v>147</v>
      </c>
    </row>
    <row r="17" spans="1:10" ht="26.4" x14ac:dyDescent="0.3">
      <c r="A17" s="11" t="s">
        <v>148</v>
      </c>
      <c r="B17" s="4" t="s">
        <v>98</v>
      </c>
      <c r="C17" s="6" t="s">
        <v>149</v>
      </c>
      <c r="D17" s="33">
        <f>E16+1</f>
        <v>46328</v>
      </c>
      <c r="E17" s="33">
        <f t="shared" si="2"/>
        <v>46334</v>
      </c>
      <c r="F17" s="30">
        <f t="shared" si="0"/>
        <v>1</v>
      </c>
      <c r="G17" s="8">
        <v>2</v>
      </c>
      <c r="H17" s="31">
        <f>Supuestos!$B$28</f>
        <v>20</v>
      </c>
      <c r="I17" s="32">
        <f t="shared" si="1"/>
        <v>40</v>
      </c>
      <c r="J17" s="6" t="s">
        <v>150</v>
      </c>
    </row>
    <row r="18" spans="1:10" x14ac:dyDescent="0.3">
      <c r="A18" s="11" t="s">
        <v>151</v>
      </c>
      <c r="B18" s="4" t="s">
        <v>98</v>
      </c>
      <c r="C18" s="6" t="s">
        <v>152</v>
      </c>
      <c r="D18" s="33">
        <f>E17+1</f>
        <v>46335</v>
      </c>
      <c r="E18" s="33">
        <f t="shared" si="2"/>
        <v>46341</v>
      </c>
      <c r="F18" s="30">
        <f t="shared" si="0"/>
        <v>1</v>
      </c>
      <c r="G18" s="8">
        <v>2</v>
      </c>
      <c r="H18" s="31">
        <f>Supuestos!$B$28</f>
        <v>20</v>
      </c>
      <c r="I18" s="32">
        <f t="shared" si="1"/>
        <v>40</v>
      </c>
      <c r="J18" s="6" t="s">
        <v>153</v>
      </c>
    </row>
    <row r="19" spans="1:10" x14ac:dyDescent="0.3">
      <c r="A19" s="11" t="s">
        <v>154</v>
      </c>
      <c r="B19" s="4" t="s">
        <v>98</v>
      </c>
      <c r="C19" s="6" t="s">
        <v>155</v>
      </c>
      <c r="D19" s="33">
        <f>E18+1</f>
        <v>46342</v>
      </c>
      <c r="E19" s="33">
        <f t="shared" si="2"/>
        <v>46348</v>
      </c>
      <c r="F19" s="30">
        <f t="shared" si="0"/>
        <v>1</v>
      </c>
      <c r="G19" s="8">
        <v>2</v>
      </c>
      <c r="H19" s="31">
        <f>Supuestos!$B$28</f>
        <v>20</v>
      </c>
      <c r="I19" s="32">
        <f t="shared" si="1"/>
        <v>40</v>
      </c>
      <c r="J19" s="6" t="s">
        <v>156</v>
      </c>
    </row>
    <row r="20" spans="1:10" x14ac:dyDescent="0.3">
      <c r="A20" s="11" t="s">
        <v>157</v>
      </c>
      <c r="B20" s="4" t="s">
        <v>98</v>
      </c>
      <c r="C20" s="6" t="s">
        <v>158</v>
      </c>
      <c r="D20" s="33">
        <f>E19+1</f>
        <v>46349</v>
      </c>
      <c r="E20" s="33">
        <f t="shared" si="2"/>
        <v>46355</v>
      </c>
      <c r="F20" s="30">
        <f t="shared" si="0"/>
        <v>1</v>
      </c>
      <c r="G20" s="8">
        <v>2</v>
      </c>
      <c r="H20" s="31">
        <f>Supuestos!$B$28</f>
        <v>20</v>
      </c>
      <c r="I20" s="32">
        <f t="shared" si="1"/>
        <v>40</v>
      </c>
      <c r="J20" s="6" t="s">
        <v>159</v>
      </c>
    </row>
    <row r="21" spans="1:10" x14ac:dyDescent="0.3">
      <c r="C21" s="25" t="s">
        <v>95</v>
      </c>
      <c r="D21" s="34">
        <f>MIN(D5:D20)</f>
        <v>46078</v>
      </c>
      <c r="E21" s="34">
        <f>MAX(E5:E20)</f>
        <v>46355</v>
      </c>
      <c r="F21" s="26">
        <f>SUM(F5:F20)</f>
        <v>39.714285714285708</v>
      </c>
      <c r="I21" s="35">
        <f>SUM(I5:I20)</f>
        <v>1295.4285714285716</v>
      </c>
    </row>
    <row r="22" spans="1:10" x14ac:dyDescent="0.3">
      <c r="C22" s="4" t="s">
        <v>160</v>
      </c>
      <c r="F22" s="21">
        <f>F21/Supuestos!$B$9</f>
        <v>9.1648351648351642</v>
      </c>
    </row>
    <row r="23" spans="1:10" x14ac:dyDescent="0.3">
      <c r="C23" s="4" t="s">
        <v>161</v>
      </c>
      <c r="F23" s="30">
        <f>SUMIF(B5:B20,"Fase 6",F5:F20)</f>
        <v>6</v>
      </c>
    </row>
  </sheetData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7643B"/>
    <pageSetUpPr fitToPage="1"/>
  </sheetPr>
  <dimension ref="A1:H21"/>
  <sheetViews>
    <sheetView showGridLines="0" workbookViewId="0"/>
  </sheetViews>
  <sheetFormatPr baseColWidth="10" defaultColWidth="8.88671875" defaultRowHeight="14.4" x14ac:dyDescent="0.3"/>
  <cols>
    <col min="1" max="1" width="9" customWidth="1"/>
    <col min="2" max="2" width="11" customWidth="1"/>
    <col min="3" max="3" width="34" customWidth="1"/>
    <col min="4" max="4" width="12" customWidth="1"/>
    <col min="5" max="6" width="14" customWidth="1"/>
    <col min="7" max="7" width="16" customWidth="1"/>
    <col min="8" max="8" width="18" customWidth="1"/>
  </cols>
  <sheetData>
    <row r="1" spans="1:8" ht="17.399999999999999" x14ac:dyDescent="0.3">
      <c r="A1" s="1" t="s">
        <v>162</v>
      </c>
    </row>
    <row r="2" spans="1:8" x14ac:dyDescent="0.3">
      <c r="A2" s="2" t="s">
        <v>163</v>
      </c>
    </row>
    <row r="4" spans="1:8" ht="30" customHeight="1" x14ac:dyDescent="0.3">
      <c r="A4" s="3" t="s">
        <v>84</v>
      </c>
      <c r="B4" s="3" t="s">
        <v>85</v>
      </c>
      <c r="C4" s="3" t="s">
        <v>86</v>
      </c>
      <c r="D4" s="3" t="s">
        <v>108</v>
      </c>
      <c r="E4" s="3" t="s">
        <v>164</v>
      </c>
      <c r="F4" s="3" t="s">
        <v>165</v>
      </c>
      <c r="G4" s="3" t="s">
        <v>166</v>
      </c>
      <c r="H4" s="3" t="s">
        <v>167</v>
      </c>
    </row>
    <row r="5" spans="1:8" x14ac:dyDescent="0.3">
      <c r="A5" s="19" t="str">
        <f>Cronograma!A5</f>
        <v>S1</v>
      </c>
      <c r="B5" s="19" t="str">
        <f>Cronograma!B5</f>
        <v>Fases 1–5</v>
      </c>
      <c r="C5" s="20" t="str">
        <f>Cronograma!C5</f>
        <v>Arranque y modelo de datos</v>
      </c>
      <c r="D5" s="31">
        <f>Cronograma!G5</f>
        <v>4</v>
      </c>
      <c r="E5" s="36">
        <f>Cronograma!F5*Cronograma!H5</f>
        <v>27.142857142857146</v>
      </c>
      <c r="F5" s="32">
        <f t="shared" ref="F5:F20" si="0">D5*E5</f>
        <v>108.57142857142858</v>
      </c>
      <c r="G5" s="22">
        <f>Supuestos!$B$24</f>
        <v>22749.967217582416</v>
      </c>
      <c r="H5" s="14">
        <f t="shared" ref="H5:H20" si="1">F5*G5</f>
        <v>2469996.440766091</v>
      </c>
    </row>
    <row r="6" spans="1:8" x14ac:dyDescent="0.3">
      <c r="A6" s="19" t="str">
        <f>Cronograma!A6</f>
        <v>S2</v>
      </c>
      <c r="B6" s="19" t="str">
        <f>Cronograma!B6</f>
        <v>Fases 1–5</v>
      </c>
      <c r="C6" s="20" t="str">
        <f>Cronograma!C6</f>
        <v>Base de datos avanzada y frontend base</v>
      </c>
      <c r="D6" s="31">
        <f>Cronograma!G6</f>
        <v>4</v>
      </c>
      <c r="E6" s="36">
        <f>Cronograma!F6*Cronograma!H6</f>
        <v>22.857142857142854</v>
      </c>
      <c r="F6" s="32">
        <f t="shared" si="0"/>
        <v>91.428571428571416</v>
      </c>
      <c r="G6" s="22">
        <f>Supuestos!$B$24</f>
        <v>22749.967217582416</v>
      </c>
      <c r="H6" s="14">
        <f t="shared" si="1"/>
        <v>2079997.0027503921</v>
      </c>
    </row>
    <row r="7" spans="1:8" x14ac:dyDescent="0.3">
      <c r="A7" s="19" t="str">
        <f>Cronograma!A7</f>
        <v>S3</v>
      </c>
      <c r="B7" s="19" t="str">
        <f>Cronograma!B7</f>
        <v>Fases 1–5</v>
      </c>
      <c r="C7" s="20" t="str">
        <f>Cronograma!C7</f>
        <v>Diagramas, pagos (front) y documento DEA</v>
      </c>
      <c r="D7" s="31">
        <f>Cronograma!G7</f>
        <v>4</v>
      </c>
      <c r="E7" s="36">
        <f>Cronograma!F7*Cronograma!H7</f>
        <v>42.857142857142854</v>
      </c>
      <c r="F7" s="32">
        <f t="shared" si="0"/>
        <v>171.42857142857142</v>
      </c>
      <c r="G7" s="22">
        <f>Supuestos!$B$24</f>
        <v>22749.967217582416</v>
      </c>
      <c r="H7" s="14">
        <f t="shared" si="1"/>
        <v>3899994.3801569855</v>
      </c>
    </row>
    <row r="8" spans="1:8" x14ac:dyDescent="0.3">
      <c r="A8" s="19" t="str">
        <f>Cronograma!A8</f>
        <v>S4</v>
      </c>
      <c r="B8" s="19" t="str">
        <f>Cronograma!B8</f>
        <v>Fases 1–5</v>
      </c>
      <c r="C8" s="20" t="str">
        <f>Cronograma!C8</f>
        <v>Normalización de la base de datos</v>
      </c>
      <c r="D8" s="31">
        <f>Cronograma!G8</f>
        <v>4</v>
      </c>
      <c r="E8" s="36">
        <f>Cronograma!F8*Cronograma!H8</f>
        <v>44.285714285714292</v>
      </c>
      <c r="F8" s="32">
        <f t="shared" si="0"/>
        <v>177.14285714285717</v>
      </c>
      <c r="G8" s="22">
        <f>Supuestos!$B$24</f>
        <v>22749.967217582416</v>
      </c>
      <c r="H8" s="14">
        <f t="shared" si="1"/>
        <v>4029994.1928288857</v>
      </c>
    </row>
    <row r="9" spans="1:8" x14ac:dyDescent="0.3">
      <c r="A9" s="19" t="str">
        <f>Cronograma!A9</f>
        <v>S5</v>
      </c>
      <c r="B9" s="19" t="str">
        <f>Cronograma!B9</f>
        <v>Fases 1–5</v>
      </c>
      <c r="C9" s="20" t="str">
        <f>Cronograma!C9</f>
        <v>Migración a Laravel: autenticación</v>
      </c>
      <c r="D9" s="31">
        <f>Cronograma!G9</f>
        <v>4</v>
      </c>
      <c r="E9" s="36">
        <f>Cronograma!F9*Cronograma!H9</f>
        <v>22.857142857142854</v>
      </c>
      <c r="F9" s="32">
        <f t="shared" si="0"/>
        <v>91.428571428571416</v>
      </c>
      <c r="G9" s="22">
        <f>Supuestos!$B$24</f>
        <v>22749.967217582416</v>
      </c>
      <c r="H9" s="14">
        <f t="shared" si="1"/>
        <v>2079997.0027503921</v>
      </c>
    </row>
    <row r="10" spans="1:8" x14ac:dyDescent="0.3">
      <c r="A10" s="19" t="str">
        <f>Cronograma!A10</f>
        <v>S6</v>
      </c>
      <c r="B10" s="19" t="str">
        <f>Cronograma!B10</f>
        <v>Fases 1–5</v>
      </c>
      <c r="C10" s="20" t="str">
        <f>Cronograma!C10</f>
        <v>Pasarela MercadoPago y chatbot</v>
      </c>
      <c r="D10" s="31">
        <f>Cronograma!G10</f>
        <v>4</v>
      </c>
      <c r="E10" s="36">
        <f>Cronograma!F10*Cronograma!H10</f>
        <v>40</v>
      </c>
      <c r="F10" s="32">
        <f t="shared" si="0"/>
        <v>160</v>
      </c>
      <c r="G10" s="22">
        <f>Supuestos!$B$24</f>
        <v>22749.967217582416</v>
      </c>
      <c r="H10" s="14">
        <f t="shared" si="1"/>
        <v>3639994.7548131868</v>
      </c>
    </row>
    <row r="11" spans="1:8" x14ac:dyDescent="0.3">
      <c r="A11" s="19" t="str">
        <f>Cronograma!A11</f>
        <v>S7</v>
      </c>
      <c r="B11" s="19" t="str">
        <f>Cronograma!B11</f>
        <v>Fases 1–5</v>
      </c>
      <c r="C11" s="20" t="str">
        <f>Cronograma!C11</f>
        <v>Receso y transición (sin sprint formal)</v>
      </c>
      <c r="D11" s="31">
        <f>Cronograma!G11</f>
        <v>4</v>
      </c>
      <c r="E11" s="36">
        <f>Cronograma!F11*Cronograma!H11</f>
        <v>13.714285714285714</v>
      </c>
      <c r="F11" s="32">
        <f t="shared" si="0"/>
        <v>54.857142857142854</v>
      </c>
      <c r="G11" s="22">
        <f>Supuestos!$B$24</f>
        <v>22749.967217582416</v>
      </c>
      <c r="H11" s="14">
        <f t="shared" si="1"/>
        <v>1247998.2016502353</v>
      </c>
    </row>
    <row r="12" spans="1:8" x14ac:dyDescent="0.3">
      <c r="A12" s="19" t="str">
        <f>Cronograma!A12</f>
        <v>S8</v>
      </c>
      <c r="B12" s="19" t="str">
        <f>Cronograma!B12</f>
        <v>Fases 1–5</v>
      </c>
      <c r="C12" s="20" t="str">
        <f>Cronograma!C12</f>
        <v>Migración a Spring Boot: entidades y DAO</v>
      </c>
      <c r="D12" s="31">
        <f>Cronograma!G12</f>
        <v>4</v>
      </c>
      <c r="E12" s="36">
        <f>Cronograma!F12*Cronograma!H12</f>
        <v>22.857142857142854</v>
      </c>
      <c r="F12" s="32">
        <f t="shared" si="0"/>
        <v>91.428571428571416</v>
      </c>
      <c r="G12" s="22">
        <f>Supuestos!$B$24</f>
        <v>22749.967217582416</v>
      </c>
      <c r="H12" s="14">
        <f t="shared" si="1"/>
        <v>2079997.0027503921</v>
      </c>
    </row>
    <row r="13" spans="1:8" x14ac:dyDescent="0.3">
      <c r="A13" s="19" t="str">
        <f>Cronograma!A13</f>
        <v>S9</v>
      </c>
      <c r="B13" s="19" t="str">
        <f>Cronograma!B13</f>
        <v>Fases 1–5</v>
      </c>
      <c r="C13" s="20" t="str">
        <f>Cronograma!C13</f>
        <v>Servicios, controladores y reportes</v>
      </c>
      <c r="D13" s="31">
        <f>Cronograma!G13</f>
        <v>4</v>
      </c>
      <c r="E13" s="36">
        <f>Cronograma!F13*Cronograma!H13</f>
        <v>20</v>
      </c>
      <c r="F13" s="32">
        <f t="shared" si="0"/>
        <v>80</v>
      </c>
      <c r="G13" s="22">
        <f>Supuestos!$B$24</f>
        <v>22749.967217582416</v>
      </c>
      <c r="H13" s="14">
        <f t="shared" si="1"/>
        <v>1819997.3774065934</v>
      </c>
    </row>
    <row r="14" spans="1:8" x14ac:dyDescent="0.3">
      <c r="A14" s="19" t="str">
        <f>Cronograma!A14</f>
        <v>S10</v>
      </c>
      <c r="B14" s="19" t="str">
        <f>Cronograma!B14</f>
        <v>Fases 1–5</v>
      </c>
      <c r="C14" s="20" t="str">
        <f>Cronograma!C14</f>
        <v>Planeación de fase 6 (sin commits)</v>
      </c>
      <c r="D14" s="31">
        <f>Cronograma!G14</f>
        <v>2</v>
      </c>
      <c r="E14" s="36">
        <f>Cronograma!F14*Cronograma!H14</f>
        <v>14.571428571428569</v>
      </c>
      <c r="F14" s="32">
        <f t="shared" si="0"/>
        <v>29.142857142857139</v>
      </c>
      <c r="G14" s="22">
        <f>Supuestos!$B$24</f>
        <v>22749.967217582416</v>
      </c>
      <c r="H14" s="14">
        <f t="shared" si="1"/>
        <v>662999.04462668742</v>
      </c>
    </row>
    <row r="15" spans="1:8" x14ac:dyDescent="0.3">
      <c r="A15" s="19" t="str">
        <f>Cronograma!A15</f>
        <v>F6-1</v>
      </c>
      <c r="B15" s="19" t="str">
        <f>Cronograma!B15</f>
        <v>Fase 6</v>
      </c>
      <c r="C15" s="20" t="str">
        <f>Cronograma!C15</f>
        <v>Estabilizar</v>
      </c>
      <c r="D15" s="31">
        <f>Cronograma!G15</f>
        <v>2</v>
      </c>
      <c r="E15" s="36">
        <f>Cronograma!F15*Cronograma!H15</f>
        <v>20</v>
      </c>
      <c r="F15" s="32">
        <f t="shared" si="0"/>
        <v>40</v>
      </c>
      <c r="G15" s="22">
        <f>Supuestos!$B$24</f>
        <v>22749.967217582416</v>
      </c>
      <c r="H15" s="14">
        <f t="shared" si="1"/>
        <v>909998.68870329671</v>
      </c>
    </row>
    <row r="16" spans="1:8" x14ac:dyDescent="0.3">
      <c r="A16" s="19" t="str">
        <f>Cronograma!A16</f>
        <v>F6-2</v>
      </c>
      <c r="B16" s="19" t="str">
        <f>Cronograma!B16</f>
        <v>Fase 6</v>
      </c>
      <c r="C16" s="20" t="str">
        <f>Cronograma!C16</f>
        <v>Servicio Python</v>
      </c>
      <c r="D16" s="31">
        <f>Cronograma!G16</f>
        <v>2</v>
      </c>
      <c r="E16" s="36">
        <f>Cronograma!F16*Cronograma!H16</f>
        <v>20</v>
      </c>
      <c r="F16" s="32">
        <f t="shared" si="0"/>
        <v>40</v>
      </c>
      <c r="G16" s="22">
        <f>Supuestos!$B$24</f>
        <v>22749.967217582416</v>
      </c>
      <c r="H16" s="14">
        <f t="shared" si="1"/>
        <v>909998.68870329671</v>
      </c>
    </row>
    <row r="17" spans="1:8" x14ac:dyDescent="0.3">
      <c r="A17" s="19" t="str">
        <f>Cronograma!A17</f>
        <v>F6-3</v>
      </c>
      <c r="B17" s="19" t="str">
        <f>Cronograma!B17</f>
        <v>Fase 6</v>
      </c>
      <c r="C17" s="20" t="str">
        <f>Cronograma!C17</f>
        <v>IA, mapa e integración</v>
      </c>
      <c r="D17" s="31">
        <f>Cronograma!G17</f>
        <v>2</v>
      </c>
      <c r="E17" s="36">
        <f>Cronograma!F17*Cronograma!H17</f>
        <v>20</v>
      </c>
      <c r="F17" s="32">
        <f t="shared" si="0"/>
        <v>40</v>
      </c>
      <c r="G17" s="22">
        <f>Supuestos!$B$24</f>
        <v>22749.967217582416</v>
      </c>
      <c r="H17" s="14">
        <f t="shared" si="1"/>
        <v>909998.68870329671</v>
      </c>
    </row>
    <row r="18" spans="1:8" x14ac:dyDescent="0.3">
      <c r="A18" s="19" t="str">
        <f>Cronograma!A18</f>
        <v>F6-4</v>
      </c>
      <c r="B18" s="19" t="str">
        <f>Cronograma!B18</f>
        <v>Fase 6</v>
      </c>
      <c r="C18" s="20" t="str">
        <f>Cronograma!C18</f>
        <v>Demostración y calidad</v>
      </c>
      <c r="D18" s="31">
        <f>Cronograma!G18</f>
        <v>2</v>
      </c>
      <c r="E18" s="36">
        <f>Cronograma!F18*Cronograma!H18</f>
        <v>20</v>
      </c>
      <c r="F18" s="32">
        <f t="shared" si="0"/>
        <v>40</v>
      </c>
      <c r="G18" s="22">
        <f>Supuestos!$B$24</f>
        <v>22749.967217582416</v>
      </c>
      <c r="H18" s="14">
        <f t="shared" si="1"/>
        <v>909998.68870329671</v>
      </c>
    </row>
    <row r="19" spans="1:8" x14ac:dyDescent="0.3">
      <c r="A19" s="19" t="str">
        <f>Cronograma!A19</f>
        <v>F6-5</v>
      </c>
      <c r="B19" s="19" t="str">
        <f>Cronograma!B19</f>
        <v>Fase 6</v>
      </c>
      <c r="C19" s="20" t="str">
        <f>Cronograma!C19</f>
        <v>Extras</v>
      </c>
      <c r="D19" s="31">
        <f>Cronograma!G19</f>
        <v>2</v>
      </c>
      <c r="E19" s="36">
        <f>Cronograma!F19*Cronograma!H19</f>
        <v>20</v>
      </c>
      <c r="F19" s="32">
        <f t="shared" si="0"/>
        <v>40</v>
      </c>
      <c r="G19" s="22">
        <f>Supuestos!$B$24</f>
        <v>22749.967217582416</v>
      </c>
      <c r="H19" s="14">
        <f t="shared" si="1"/>
        <v>909998.68870329671</v>
      </c>
    </row>
    <row r="20" spans="1:8" x14ac:dyDescent="0.3">
      <c r="A20" s="19" t="str">
        <f>Cronograma!A20</f>
        <v>F6-6</v>
      </c>
      <c r="B20" s="19" t="str">
        <f>Cronograma!B20</f>
        <v>Fase 6</v>
      </c>
      <c r="C20" s="20" t="str">
        <f>Cronograma!C20</f>
        <v>Documentar y ensayar</v>
      </c>
      <c r="D20" s="31">
        <f>Cronograma!G20</f>
        <v>2</v>
      </c>
      <c r="E20" s="36">
        <f>Cronograma!F20*Cronograma!H20</f>
        <v>20</v>
      </c>
      <c r="F20" s="32">
        <f t="shared" si="0"/>
        <v>40</v>
      </c>
      <c r="G20" s="22">
        <f>Supuestos!$B$24</f>
        <v>22749.967217582416</v>
      </c>
      <c r="H20" s="14">
        <f t="shared" si="1"/>
        <v>909998.68870329671</v>
      </c>
    </row>
    <row r="21" spans="1:8" x14ac:dyDescent="0.3">
      <c r="C21" s="25" t="s">
        <v>168</v>
      </c>
      <c r="F21" s="35">
        <f>SUM(F5:F20)</f>
        <v>1295.4285714285716</v>
      </c>
      <c r="H21" s="27">
        <f>SUM(H5:H20)</f>
        <v>29470957.532719634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7643B"/>
    <pageSetUpPr fitToPage="1"/>
  </sheetPr>
  <dimension ref="A1:H10"/>
  <sheetViews>
    <sheetView showGridLines="0" workbookViewId="0"/>
  </sheetViews>
  <sheetFormatPr baseColWidth="10" defaultColWidth="8.88671875" defaultRowHeight="14.4" x14ac:dyDescent="0.3"/>
  <cols>
    <col min="1" max="1" width="44" customWidth="1"/>
    <col min="2" max="2" width="10" customWidth="1"/>
    <col min="3" max="5" width="16" customWidth="1"/>
    <col min="6" max="6" width="12" customWidth="1"/>
    <col min="7" max="7" width="18" customWidth="1"/>
    <col min="8" max="8" width="70" customWidth="1"/>
  </cols>
  <sheetData>
    <row r="1" spans="1:8" ht="17.399999999999999" x14ac:dyDescent="0.3">
      <c r="A1" s="1" t="s">
        <v>169</v>
      </c>
    </row>
    <row r="2" spans="1:8" x14ac:dyDescent="0.3">
      <c r="A2" s="2" t="s">
        <v>170</v>
      </c>
    </row>
    <row r="4" spans="1:8" ht="30" customHeight="1" x14ac:dyDescent="0.3">
      <c r="A4" s="3" t="s">
        <v>171</v>
      </c>
      <c r="B4" s="3" t="s">
        <v>172</v>
      </c>
      <c r="C4" s="3" t="s">
        <v>173</v>
      </c>
      <c r="D4" s="3" t="s">
        <v>174</v>
      </c>
      <c r="E4" s="3" t="s">
        <v>175</v>
      </c>
      <c r="F4" s="3" t="s">
        <v>176</v>
      </c>
      <c r="G4" s="3" t="s">
        <v>177</v>
      </c>
      <c r="H4" s="3" t="s">
        <v>5</v>
      </c>
    </row>
    <row r="5" spans="1:8" ht="39.6" x14ac:dyDescent="0.3">
      <c r="A5" s="6" t="s">
        <v>178</v>
      </c>
      <c r="B5" s="8">
        <v>2</v>
      </c>
      <c r="C5" s="7">
        <v>4399000</v>
      </c>
      <c r="D5" s="14">
        <f>B5*C5</f>
        <v>8798000</v>
      </c>
      <c r="E5" s="14">
        <f>D5/(Supuestos!$B$32*12)</f>
        <v>146633.33333333334</v>
      </c>
      <c r="F5" s="21">
        <f>Cronograma!$F$22</f>
        <v>9.1648351648351642</v>
      </c>
      <c r="G5" s="14">
        <f>E5*F5</f>
        <v>1343870.3296703296</v>
      </c>
      <c r="H5" s="6" t="s">
        <v>179</v>
      </c>
    </row>
    <row r="6" spans="1:8" ht="26.4" x14ac:dyDescent="0.3">
      <c r="A6" s="6" t="s">
        <v>180</v>
      </c>
      <c r="B6" s="8">
        <v>0</v>
      </c>
      <c r="C6" s="7">
        <v>1200000</v>
      </c>
      <c r="D6" s="14">
        <f>B6*C6</f>
        <v>0</v>
      </c>
      <c r="E6" s="14">
        <f>D6/(Supuestos!$B$32*12)</f>
        <v>0</v>
      </c>
      <c r="F6" s="21">
        <f>Cronograma!$F$22</f>
        <v>9.1648351648351642</v>
      </c>
      <c r="G6" s="14">
        <f>E6*F6</f>
        <v>0</v>
      </c>
      <c r="H6" s="6" t="s">
        <v>181</v>
      </c>
    </row>
    <row r="7" spans="1:8" ht="26.4" x14ac:dyDescent="0.3">
      <c r="A7" s="6" t="s">
        <v>182</v>
      </c>
      <c r="B7" s="8">
        <v>0</v>
      </c>
      <c r="C7" s="7">
        <v>0</v>
      </c>
      <c r="D7" s="14">
        <f>B7*C7</f>
        <v>0</v>
      </c>
      <c r="E7" s="14">
        <f>D7/(Supuestos!$B$32*12)</f>
        <v>0</v>
      </c>
      <c r="F7" s="21">
        <f>Cronograma!$F$22</f>
        <v>9.1648351648351642</v>
      </c>
      <c r="G7" s="14">
        <f>E7*F7</f>
        <v>0</v>
      </c>
      <c r="H7" s="6" t="s">
        <v>183</v>
      </c>
    </row>
    <row r="8" spans="1:8" x14ac:dyDescent="0.3">
      <c r="A8" s="25" t="s">
        <v>168</v>
      </c>
      <c r="D8" s="15">
        <f>SUM(D5:D7)</f>
        <v>8798000</v>
      </c>
      <c r="E8" s="27">
        <f>SUM(E5:E7)</f>
        <v>146633.33333333334</v>
      </c>
      <c r="G8" s="27">
        <f>SUM(G5:G7)</f>
        <v>1343870.3296703296</v>
      </c>
    </row>
    <row r="10" spans="1:8" x14ac:dyDescent="0.3">
      <c r="A10" s="4" t="s">
        <v>184</v>
      </c>
      <c r="E10" s="14">
        <f>E8/Supuestos!$B$9</f>
        <v>33838.461538461546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7643B"/>
    <pageSetUpPr fitToPage="1"/>
  </sheetPr>
  <dimension ref="A1:H15"/>
  <sheetViews>
    <sheetView showGridLines="0" workbookViewId="0"/>
  </sheetViews>
  <sheetFormatPr baseColWidth="10" defaultColWidth="8.88671875" defaultRowHeight="14.4" x14ac:dyDescent="0.3"/>
  <cols>
    <col min="1" max="1" width="36" customWidth="1"/>
    <col min="2" max="2" width="26" customWidth="1"/>
    <col min="3" max="3" width="20" customWidth="1"/>
    <col min="4" max="4" width="12" customWidth="1"/>
    <col min="5" max="5" width="16" customWidth="1"/>
    <col min="6" max="6" width="10" customWidth="1"/>
    <col min="7" max="7" width="16" customWidth="1"/>
    <col min="8" max="8" width="70" customWidth="1"/>
  </cols>
  <sheetData>
    <row r="1" spans="1:8" ht="17.399999999999999" x14ac:dyDescent="0.3">
      <c r="A1" s="1" t="s">
        <v>90</v>
      </c>
    </row>
    <row r="2" spans="1:8" x14ac:dyDescent="0.3">
      <c r="A2" s="2" t="s">
        <v>185</v>
      </c>
    </row>
    <row r="4" spans="1:8" ht="30" customHeight="1" x14ac:dyDescent="0.3">
      <c r="A4" s="3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172</v>
      </c>
      <c r="G4" s="3" t="s">
        <v>191</v>
      </c>
      <c r="H4" s="3" t="s">
        <v>5</v>
      </c>
    </row>
    <row r="5" spans="1:8" ht="26.4" x14ac:dyDescent="0.3">
      <c r="A5" s="6" t="s">
        <v>192</v>
      </c>
      <c r="B5" s="6" t="s">
        <v>193</v>
      </c>
      <c r="C5" s="6" t="s">
        <v>194</v>
      </c>
      <c r="D5" s="37">
        <v>0</v>
      </c>
      <c r="E5" s="14">
        <f>D5*Supuestos!$B$30</f>
        <v>0</v>
      </c>
      <c r="F5" s="8">
        <v>1</v>
      </c>
      <c r="G5" s="14">
        <f t="shared" ref="G5:G14" si="0">E5*F5</f>
        <v>0</v>
      </c>
      <c r="H5" s="6" t="s">
        <v>195</v>
      </c>
    </row>
    <row r="6" spans="1:8" x14ac:dyDescent="0.3">
      <c r="A6" s="6" t="s">
        <v>196</v>
      </c>
      <c r="B6" s="6" t="s">
        <v>197</v>
      </c>
      <c r="C6" s="6" t="s">
        <v>198</v>
      </c>
      <c r="D6" s="37">
        <v>0</v>
      </c>
      <c r="E6" s="14">
        <f>D6*Supuestos!$B$30</f>
        <v>0</v>
      </c>
      <c r="F6" s="8">
        <v>1</v>
      </c>
      <c r="G6" s="14">
        <f t="shared" si="0"/>
        <v>0</v>
      </c>
      <c r="H6" s="6" t="s">
        <v>199</v>
      </c>
    </row>
    <row r="7" spans="1:8" ht="26.4" x14ac:dyDescent="0.3">
      <c r="A7" s="6" t="s">
        <v>200</v>
      </c>
      <c r="B7" s="6" t="s">
        <v>201</v>
      </c>
      <c r="C7" s="6" t="s">
        <v>202</v>
      </c>
      <c r="D7" s="37">
        <v>0</v>
      </c>
      <c r="E7" s="14">
        <f>D7*Supuestos!$B$30</f>
        <v>0</v>
      </c>
      <c r="F7" s="8">
        <v>1</v>
      </c>
      <c r="G7" s="14">
        <f t="shared" si="0"/>
        <v>0</v>
      </c>
      <c r="H7" s="6" t="s">
        <v>203</v>
      </c>
    </row>
    <row r="8" spans="1:8" x14ac:dyDescent="0.3">
      <c r="A8" s="6" t="s">
        <v>204</v>
      </c>
      <c r="B8" s="6" t="s">
        <v>205</v>
      </c>
      <c r="C8" s="6" t="s">
        <v>206</v>
      </c>
      <c r="D8" s="37">
        <v>0</v>
      </c>
      <c r="E8" s="14">
        <f>D8*Supuestos!$B$30</f>
        <v>0</v>
      </c>
      <c r="F8" s="8">
        <v>1</v>
      </c>
      <c r="G8" s="14">
        <f t="shared" si="0"/>
        <v>0</v>
      </c>
      <c r="H8" s="6" t="s">
        <v>207</v>
      </c>
    </row>
    <row r="9" spans="1:8" x14ac:dyDescent="0.3">
      <c r="A9" s="6" t="s">
        <v>208</v>
      </c>
      <c r="B9" s="6" t="s">
        <v>209</v>
      </c>
      <c r="C9" s="6" t="s">
        <v>210</v>
      </c>
      <c r="D9" s="37">
        <v>0</v>
      </c>
      <c r="E9" s="14">
        <f>D9*Supuestos!$B$30</f>
        <v>0</v>
      </c>
      <c r="F9" s="8">
        <v>1</v>
      </c>
      <c r="G9" s="14">
        <f t="shared" si="0"/>
        <v>0</v>
      </c>
      <c r="H9" s="6" t="s">
        <v>211</v>
      </c>
    </row>
    <row r="10" spans="1:8" x14ac:dyDescent="0.3">
      <c r="A10" s="6" t="s">
        <v>212</v>
      </c>
      <c r="B10" s="6" t="s">
        <v>213</v>
      </c>
      <c r="C10" s="6" t="s">
        <v>214</v>
      </c>
      <c r="D10" s="37">
        <v>0</v>
      </c>
      <c r="E10" s="14">
        <f>D10*Supuestos!$B$30</f>
        <v>0</v>
      </c>
      <c r="F10" s="8">
        <v>1</v>
      </c>
      <c r="G10" s="14">
        <f t="shared" si="0"/>
        <v>0</v>
      </c>
      <c r="H10" s="6" t="s">
        <v>215</v>
      </c>
    </row>
    <row r="11" spans="1:8" x14ac:dyDescent="0.3">
      <c r="A11" s="6" t="s">
        <v>216</v>
      </c>
      <c r="B11" s="6" t="s">
        <v>217</v>
      </c>
      <c r="C11" s="6" t="s">
        <v>210</v>
      </c>
      <c r="D11" s="37">
        <v>0</v>
      </c>
      <c r="E11" s="14">
        <f>D11*Supuestos!$B$30</f>
        <v>0</v>
      </c>
      <c r="F11" s="8">
        <v>1</v>
      </c>
      <c r="G11" s="14">
        <f t="shared" si="0"/>
        <v>0</v>
      </c>
      <c r="H11" s="6" t="s">
        <v>218</v>
      </c>
    </row>
    <row r="12" spans="1:8" x14ac:dyDescent="0.3">
      <c r="A12" s="6" t="s">
        <v>219</v>
      </c>
      <c r="B12" s="6" t="s">
        <v>220</v>
      </c>
      <c r="C12" s="6" t="s">
        <v>221</v>
      </c>
      <c r="D12" s="37">
        <v>0</v>
      </c>
      <c r="E12" s="14">
        <f>D12*Supuestos!$B$30</f>
        <v>0</v>
      </c>
      <c r="F12" s="8">
        <v>1</v>
      </c>
      <c r="G12" s="14">
        <f t="shared" si="0"/>
        <v>0</v>
      </c>
      <c r="H12" s="6" t="s">
        <v>222</v>
      </c>
    </row>
    <row r="13" spans="1:8" ht="39.6" x14ac:dyDescent="0.3">
      <c r="A13" s="6" t="s">
        <v>223</v>
      </c>
      <c r="B13" s="6" t="s">
        <v>224</v>
      </c>
      <c r="C13" s="6" t="s">
        <v>225</v>
      </c>
      <c r="D13" s="37">
        <v>0</v>
      </c>
      <c r="E13" s="14">
        <f>D13*Supuestos!$B$30</f>
        <v>0</v>
      </c>
      <c r="F13" s="8">
        <v>1</v>
      </c>
      <c r="G13" s="14">
        <f t="shared" si="0"/>
        <v>0</v>
      </c>
      <c r="H13" s="6" t="s">
        <v>226</v>
      </c>
    </row>
    <row r="14" spans="1:8" ht="52.8" x14ac:dyDescent="0.3">
      <c r="A14" s="6" t="s">
        <v>227</v>
      </c>
      <c r="B14" s="6" t="s">
        <v>228</v>
      </c>
      <c r="C14" s="6" t="s">
        <v>229</v>
      </c>
      <c r="D14" s="37">
        <v>154</v>
      </c>
      <c r="E14" s="14">
        <f>D14*Supuestos!$B$30</f>
        <v>488250.84</v>
      </c>
      <c r="F14" s="8">
        <v>1</v>
      </c>
      <c r="G14" s="14">
        <f t="shared" si="0"/>
        <v>488250.84</v>
      </c>
      <c r="H14" s="6" t="s">
        <v>230</v>
      </c>
    </row>
    <row r="15" spans="1:8" x14ac:dyDescent="0.3">
      <c r="A15" s="25" t="s">
        <v>168</v>
      </c>
      <c r="G15" s="27">
        <f>SUM(G5:G14)</f>
        <v>488250.84</v>
      </c>
    </row>
  </sheetData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7643B"/>
    <pageSetUpPr fitToPage="1"/>
  </sheetPr>
  <dimension ref="A1:J12"/>
  <sheetViews>
    <sheetView showGridLines="0" workbookViewId="0"/>
  </sheetViews>
  <sheetFormatPr baseColWidth="10" defaultColWidth="8.88671875" defaultRowHeight="14.4" x14ac:dyDescent="0.3"/>
  <cols>
    <col min="1" max="1" width="34" customWidth="1"/>
    <col min="2" max="2" width="18" customWidth="1"/>
    <col min="3" max="4" width="13" customWidth="1"/>
    <col min="5" max="5" width="16" customWidth="1"/>
    <col min="6" max="7" width="10" customWidth="1"/>
    <col min="8" max="8" width="16" customWidth="1"/>
    <col min="9" max="9" width="11" customWidth="1"/>
    <col min="10" max="10" width="70" customWidth="1"/>
  </cols>
  <sheetData>
    <row r="1" spans="1:10" ht="17.399999999999999" x14ac:dyDescent="0.3">
      <c r="A1" s="1" t="s">
        <v>91</v>
      </c>
    </row>
    <row r="2" spans="1:10" x14ac:dyDescent="0.3">
      <c r="A2" s="2" t="s">
        <v>231</v>
      </c>
    </row>
    <row r="4" spans="1:10" ht="30" customHeight="1" x14ac:dyDescent="0.3">
      <c r="A4" s="3" t="s">
        <v>232</v>
      </c>
      <c r="B4" s="3" t="s">
        <v>233</v>
      </c>
      <c r="C4" s="3" t="s">
        <v>4</v>
      </c>
      <c r="D4" s="3" t="s">
        <v>189</v>
      </c>
      <c r="E4" s="3" t="s">
        <v>190</v>
      </c>
      <c r="F4" s="3" t="s">
        <v>172</v>
      </c>
      <c r="G4" s="3" t="s">
        <v>234</v>
      </c>
      <c r="H4" s="3" t="s">
        <v>191</v>
      </c>
      <c r="I4" s="3" t="s">
        <v>235</v>
      </c>
      <c r="J4" s="3" t="s">
        <v>5</v>
      </c>
    </row>
    <row r="5" spans="1:10" ht="52.8" x14ac:dyDescent="0.3">
      <c r="A5" s="6" t="s">
        <v>236</v>
      </c>
      <c r="B5" s="6" t="s">
        <v>237</v>
      </c>
      <c r="C5" s="4" t="s">
        <v>238</v>
      </c>
      <c r="D5" s="37">
        <v>16.989999999999998</v>
      </c>
      <c r="E5" s="14">
        <f>D5*Supuestos!$B$30</f>
        <v>53866.115399999995</v>
      </c>
      <c r="F5" s="8">
        <v>1</v>
      </c>
      <c r="G5" s="8">
        <v>2</v>
      </c>
      <c r="H5" s="14">
        <f t="shared" ref="H5:H11" si="0">E5*F5*G5</f>
        <v>107732.23079999999</v>
      </c>
      <c r="I5" s="38" t="s">
        <v>98</v>
      </c>
      <c r="J5" s="6" t="s">
        <v>239</v>
      </c>
    </row>
    <row r="6" spans="1:10" ht="26.4" x14ac:dyDescent="0.3">
      <c r="A6" s="6" t="s">
        <v>240</v>
      </c>
      <c r="B6" s="6" t="s">
        <v>241</v>
      </c>
      <c r="C6" s="4" t="s">
        <v>242</v>
      </c>
      <c r="D6" s="37">
        <v>15.53</v>
      </c>
      <c r="E6" s="14">
        <f>D6*Supuestos!$B$30</f>
        <v>49237.243799999997</v>
      </c>
      <c r="F6" s="8">
        <v>1</v>
      </c>
      <c r="G6" s="8">
        <v>1</v>
      </c>
      <c r="H6" s="14">
        <f t="shared" si="0"/>
        <v>49237.243799999997</v>
      </c>
      <c r="I6" s="38" t="s">
        <v>98</v>
      </c>
      <c r="J6" s="6" t="s">
        <v>243</v>
      </c>
    </row>
    <row r="7" spans="1:10" ht="26.4" x14ac:dyDescent="0.3">
      <c r="A7" s="6" t="s">
        <v>244</v>
      </c>
      <c r="B7" s="6" t="s">
        <v>245</v>
      </c>
      <c r="C7" s="4" t="s">
        <v>246</v>
      </c>
      <c r="D7" s="37">
        <v>0</v>
      </c>
      <c r="E7" s="14">
        <f>D7*Supuestos!$B$30</f>
        <v>0</v>
      </c>
      <c r="F7" s="8">
        <v>1</v>
      </c>
      <c r="G7" s="8">
        <v>1</v>
      </c>
      <c r="H7" s="14">
        <f t="shared" si="0"/>
        <v>0</v>
      </c>
      <c r="I7" s="38" t="s">
        <v>98</v>
      </c>
      <c r="J7" s="6" t="s">
        <v>247</v>
      </c>
    </row>
    <row r="8" spans="1:10" ht="26.4" x14ac:dyDescent="0.3">
      <c r="A8" s="6" t="s">
        <v>248</v>
      </c>
      <c r="B8" s="6" t="s">
        <v>249</v>
      </c>
      <c r="C8" s="4" t="s">
        <v>238</v>
      </c>
      <c r="D8" s="37">
        <v>0</v>
      </c>
      <c r="E8" s="14">
        <f>D8*Supuestos!$B$30</f>
        <v>0</v>
      </c>
      <c r="F8" s="8">
        <v>1</v>
      </c>
      <c r="G8" s="8">
        <v>1</v>
      </c>
      <c r="H8" s="14">
        <f t="shared" si="0"/>
        <v>0</v>
      </c>
      <c r="I8" s="38" t="s">
        <v>98</v>
      </c>
      <c r="J8" s="6" t="s">
        <v>250</v>
      </c>
    </row>
    <row r="9" spans="1:10" x14ac:dyDescent="0.3">
      <c r="A9" s="6" t="s">
        <v>251</v>
      </c>
      <c r="B9" s="6" t="s">
        <v>252</v>
      </c>
      <c r="C9" s="4" t="s">
        <v>238</v>
      </c>
      <c r="D9" s="37">
        <v>0</v>
      </c>
      <c r="E9" s="14">
        <f>D9*Supuestos!$B$30</f>
        <v>0</v>
      </c>
      <c r="F9" s="8">
        <v>2</v>
      </c>
      <c r="G9" s="8">
        <v>1</v>
      </c>
      <c r="H9" s="14">
        <f t="shared" si="0"/>
        <v>0</v>
      </c>
      <c r="I9" s="38" t="s">
        <v>253</v>
      </c>
      <c r="J9" s="6" t="s">
        <v>254</v>
      </c>
    </row>
    <row r="10" spans="1:10" ht="26.4" x14ac:dyDescent="0.3">
      <c r="A10" s="6" t="s">
        <v>255</v>
      </c>
      <c r="B10" s="6" t="s">
        <v>256</v>
      </c>
      <c r="C10" s="4" t="s">
        <v>257</v>
      </c>
      <c r="D10" s="39"/>
      <c r="E10" s="22">
        <f>Supuestos!$B$37</f>
        <v>2048.2279999999996</v>
      </c>
      <c r="F10" s="31">
        <f>Supuestos!$B$38</f>
        <v>0</v>
      </c>
      <c r="G10" s="8">
        <v>1</v>
      </c>
      <c r="H10" s="14">
        <f t="shared" si="0"/>
        <v>0</v>
      </c>
      <c r="I10" s="38" t="s">
        <v>98</v>
      </c>
      <c r="J10" s="6" t="s">
        <v>258</v>
      </c>
    </row>
    <row r="11" spans="1:10" x14ac:dyDescent="0.3">
      <c r="A11" s="6" t="s">
        <v>259</v>
      </c>
      <c r="B11" s="6" t="s">
        <v>260</v>
      </c>
      <c r="C11" s="4" t="s">
        <v>238</v>
      </c>
      <c r="D11" s="39"/>
      <c r="E11" s="7">
        <v>27000</v>
      </c>
      <c r="F11" s="8">
        <v>2</v>
      </c>
      <c r="G11" s="21">
        <f>Cronograma!$F$22</f>
        <v>9.1648351648351642</v>
      </c>
      <c r="H11" s="14">
        <f t="shared" si="0"/>
        <v>494901.09890109889</v>
      </c>
      <c r="I11" s="38" t="s">
        <v>253</v>
      </c>
      <c r="J11" s="6" t="s">
        <v>261</v>
      </c>
    </row>
    <row r="12" spans="1:10" x14ac:dyDescent="0.3">
      <c r="A12" s="25" t="s">
        <v>168</v>
      </c>
      <c r="H12" s="27">
        <f>SUM(H5:H11)</f>
        <v>651870.5735010989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Resumen</vt:lpstr>
      <vt:lpstr>Cronograma</vt:lpstr>
      <vt:lpstr>Talento humano</vt:lpstr>
      <vt:lpstr>Hardware</vt:lpstr>
      <vt:lpstr>Software y licencias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Vanegas</cp:lastModifiedBy>
  <dcterms:created xsi:type="dcterms:W3CDTF">2026-10-19T13:15:53Z</dcterms:created>
  <dcterms:modified xsi:type="dcterms:W3CDTF">2026-10-19T13:15:59Z</dcterms:modified>
</cp:coreProperties>
</file>