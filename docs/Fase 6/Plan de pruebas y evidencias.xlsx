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\Desktop\ur\Urban-Eats\docs\Fase 6\"/>
    </mc:Choice>
  </mc:AlternateContent>
  <xr:revisionPtr revIDLastSave="0" documentId="13_ncr:1_{342F56BC-02D9-4E82-8FC1-763A0A5B5214}" xr6:coauthVersionLast="47" xr6:coauthVersionMax="47" xr10:uidLastSave="{00000000-0000-0000-0000-000000000000}"/>
  <bookViews>
    <workbookView xWindow="24" yWindow="0" windowWidth="23016" windowHeight="12360" activeTab="1" xr2:uid="{00000000-000D-0000-FFFF-FFFF00000000}"/>
  </bookViews>
  <sheets>
    <sheet name="Resumen" sheetId="1" r:id="rId1"/>
    <sheet name="Casos de prueba" sheetId="2" r:id="rId2"/>
  </sheets>
  <definedNames>
    <definedName name="_xlnm._FilterDatabase" localSheetId="1" hidden="1">'Casos de prueba'!$A$4:$N$30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  <c r="E10" i="1"/>
  <c r="D10" i="1"/>
  <c r="C10" i="1"/>
  <c r="B10" i="1"/>
  <c r="G10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G5" i="1" s="1"/>
  <c r="E4" i="1"/>
  <c r="D4" i="1"/>
  <c r="D12" i="1" s="1"/>
  <c r="C4" i="1"/>
  <c r="B4" i="1"/>
  <c r="F5" i="1" l="1"/>
  <c r="B12" i="1"/>
  <c r="F6" i="1"/>
  <c r="G8" i="1"/>
  <c r="C12" i="1"/>
  <c r="E12" i="1"/>
  <c r="G7" i="1"/>
  <c r="G9" i="1"/>
  <c r="G11" i="1"/>
  <c r="G4" i="1"/>
  <c r="F7" i="1"/>
  <c r="F11" i="1"/>
  <c r="F4" i="1"/>
  <c r="F10" i="1"/>
  <c r="G6" i="1"/>
  <c r="F9" i="1"/>
  <c r="F8" i="1"/>
  <c r="G12" i="1" l="1"/>
  <c r="F12" i="1"/>
</calcChain>
</file>

<file path=xl/sharedStrings.xml><?xml version="1.0" encoding="utf-8"?>
<sst xmlns="http://schemas.openxmlformats.org/spreadsheetml/2006/main" count="245" uniqueCount="172">
  <si>
    <t>Resumen de ejecución</t>
  </si>
  <si>
    <t>Módulo</t>
  </si>
  <si>
    <t>Casos</t>
  </si>
  <si>
    <t>Pasó</t>
  </si>
  <si>
    <t>Falló</t>
  </si>
  <si>
    <t>Bloqueado</t>
  </si>
  <si>
    <t>Sin ejecutar</t>
  </si>
  <si>
    <t>% aprobado</t>
  </si>
  <si>
    <t>Flujo de pedido</t>
  </si>
  <si>
    <t>Flujo de pedido – negativo</t>
  </si>
  <si>
    <t>Servicio Python – CRUD</t>
  </si>
  <si>
    <t>Servicio Python – validación</t>
  </si>
  <si>
    <t>Servicio Python – reportes</t>
  </si>
  <si>
    <t>Servicio Python – arranque</t>
  </si>
  <si>
    <t>Asistente IA</t>
  </si>
  <si>
    <t>Mapa y rastreo</t>
  </si>
  <si>
    <t>TOTAL</t>
  </si>
  <si>
    <t>• Criterio de aceptación de la fase: 100 % de los casos de prioridad Alta en 'Pasó' antes de la sustentación.</t>
  </si>
  <si>
    <t>• Evidencia: pantallazo de pantalla completa con fecha y hora visibles, o video corto; nombrar el archivo con el ID del caso (p. ej. FP-01.png).</t>
  </si>
  <si>
    <t>• Datos de prueba de MercadoPago: tarjetas de prueba oficiales; titular 'APRO' = aprobado, 'OTHE' = rechazado.</t>
  </si>
  <si>
    <t>• Si un caso falla: registrar el defecto, describir la acción de mejora, corregir y volver a ejecutar (registrar la nueva fecha).</t>
  </si>
  <si>
    <t>Urban Eats – Plan de pruebas y evidencias (Fase 6)</t>
  </si>
  <si>
    <t>Diligenciar las columnas 'Resultado obtenido', 'Estado', 'Evidencia' (nombre del pantallazo o video, con fecha y hora) y 'Responsable'. La columna 'Acción de mejora' se completa solo si el caso falla.</t>
  </si>
  <si>
    <t>ID</t>
  </si>
  <si>
    <t>Caso de prueba</t>
  </si>
  <si>
    <t>Tipo</t>
  </si>
  <si>
    <t>Prioridad</t>
  </si>
  <si>
    <t>Precondición</t>
  </si>
  <si>
    <t>Pasos</t>
  </si>
  <si>
    <t>Resultado esperado</t>
  </si>
  <si>
    <t>Resultado obtenido</t>
  </si>
  <si>
    <t>Estado</t>
  </si>
  <si>
    <t>Evidencia</t>
  </si>
  <si>
    <t>Acción de mejora</t>
  </si>
  <si>
    <t>Responsable</t>
  </si>
  <si>
    <t>Fecha de ejecución</t>
  </si>
  <si>
    <t>FP-01</t>
  </si>
  <si>
    <t>Cliente crea un pedido y paga</t>
  </si>
  <si>
    <t>Funcional</t>
  </si>
  <si>
    <t>Alta</t>
  </si>
  <si>
    <t>Cliente registrado con sesión iniciada. Cocina de demostración publicada con platos activos. MercadoPago en modo prueba.</t>
  </si>
  <si>
    <t>1. Ir al catálogo.
2. Agregar 2 platos al carrito.
3. Confirmar dirección de entrega.
4. Pagar con tarjeta de prueba aprobada (APRO).</t>
  </si>
  <si>
    <t>El pago queda 'approved', el pedido se crea en estado 'Solicitado' con fecha y hora, y el cliente ve el resumen del pedido.</t>
  </si>
  <si>
    <t>FP-02</t>
  </si>
  <si>
    <t>Cocina acepta y prepara el pedido</t>
  </si>
  <si>
    <t>Pedido en estado 'Solicitado' con pago aprobado. Usuario con rol cocina/gerente de la cocina dueña del pedido.</t>
  </si>
  <si>
    <t>1. Iniciar sesión como cocina.
2. Abrir el panel de pedidos.
3. Pulsar 'Aceptar' en el pedido.</t>
  </si>
  <si>
    <t>El pedido pasa a 'En preparación' y se registra la hora del cambio. El cliente ve el nuevo estado al recargar.</t>
  </si>
  <si>
    <t>FP-03</t>
  </si>
  <si>
    <t>Cocina marca el pedido como listo</t>
  </si>
  <si>
    <t>Pedido en 'En preparación'.</t>
  </si>
  <si>
    <t>1. Desde el panel de cocina pulsar 'Listo para envío'.</t>
  </si>
  <si>
    <t>El pedido pasa a 'Listo para envío', aparece en la lista de pedidos disponibles para repartidores y se registra la hora.</t>
  </si>
  <si>
    <t>FP-04</t>
  </si>
  <si>
    <t>Repartidor toma el pedido</t>
  </si>
  <si>
    <t>Pedido en 'Listo para envío'. Usuario con rol repartidor activo.</t>
  </si>
  <si>
    <t>1. Iniciar sesión como repartidor.
2. Abrir 'Pedidos disponibles'.
3. Pulsar 'Tomar pedido'.</t>
  </si>
  <si>
    <t>El pedido queda asignado a ese repartidor, pasa a 'En camino', desaparece de la lista de disponibles y se registra la hora.</t>
  </si>
  <si>
    <t>FP-05</t>
  </si>
  <si>
    <t>Repartidor entrega el pedido</t>
  </si>
  <si>
    <t>Pedido 'En camino' asignado al repartidor de la sesión.</t>
  </si>
  <si>
    <t>1. Pulsar 'Marcar como entregado'.</t>
  </si>
  <si>
    <t>El pedido pasa a 'Entregado' con hora de entrega; deja de aparecer en los pedidos activos del repartidor.</t>
  </si>
  <si>
    <t>FP-06</t>
  </si>
  <si>
    <t>Cliente ve el pedido entregado</t>
  </si>
  <si>
    <t>Pedido en 'Entregado'.</t>
  </si>
  <si>
    <t>1. Iniciar sesión como el cliente.
2. Abrir 'Mis pedidos'.</t>
  </si>
  <si>
    <t>El pedido aparece como 'Entregado' con la línea de tiempo de los 5 estados y sus horas.</t>
  </si>
  <si>
    <t>FN-01</t>
  </si>
  <si>
    <t>Doble toma del mismo pedido</t>
  </si>
  <si>
    <t>Negativo</t>
  </si>
  <si>
    <t>Pedido en 'Listo para envío'. Dos repartidores con sesión en navegadores distintos.</t>
  </si>
  <si>
    <t>1. Ambos repartidores abren 'Pedidos disponibles'.
2. El repartidor A pulsa 'Tomar pedido'.
3. El repartidor B pulsa 'Tomar pedido' sobre el mismo pedido sin recargar.</t>
  </si>
  <si>
    <t>Solo A queda asignado. B recibe el mensaje 'El pedido ya fue tomado por otro repartidor' y el estado no cambia dos veces.</t>
  </si>
  <si>
    <t>FN-02</t>
  </si>
  <si>
    <t>Cancelar un pedido ajeno</t>
  </si>
  <si>
    <t>Negativo / seguridad</t>
  </si>
  <si>
    <t>Pedido del cliente A en 'Solicitado'. Cliente B con sesión iniciada.</t>
  </si>
  <si>
    <t>1. Como cliente B, enviar la petición de cancelar el pedido de A (cambiando el id en la URL o en el formulario).</t>
  </si>
  <si>
    <t>La aplicación responde 403 / mensaje 'No puede modificar un pedido que no es suyo'. El pedido de A sigue en 'Solicitado'.</t>
  </si>
  <si>
    <t>FN-03</t>
  </si>
  <si>
    <t>Entregar un pedido que no está 'En camino'</t>
  </si>
  <si>
    <t>Pedido en 'En preparación'. Repartidor con sesión.</t>
  </si>
  <si>
    <t>1. Enviar la acción 'entregar' sobre ese pedido (URL directa).</t>
  </si>
  <si>
    <t>Se rechaza con el mensaje 'Transición de estado no permitida'. El estado no cambia.</t>
  </si>
  <si>
    <t>FN-04</t>
  </si>
  <si>
    <t>Pago rechazado</t>
  </si>
  <si>
    <t>Cliente con carrito listo. MercadoPago en modo prueba.</t>
  </si>
  <si>
    <t>1. Pagar con tarjeta de prueba rechazada (titular OTHE).</t>
  </si>
  <si>
    <t>El pedido no llega a la cocina; el cliente ve 'Pago rechazado' y puede reintentar. No se crea pedido 'Solicitado'.</t>
  </si>
  <si>
    <t>PY-01</t>
  </si>
  <si>
    <t>Crear solicitud de vinculación de cocina</t>
  </si>
  <si>
    <t>Servicio FastAPI corriendo en :8000. Base de datos disponible.</t>
  </si>
  <si>
    <t>1. POST /solicitudes con NIT válido, razón social, dirección, representante, concepto sanitario vigente, RUT y Cámara de Comercio.</t>
  </si>
  <si>
    <t>Respuesta 201 con el id de la solicitud y estado 'Pendiente'. El registro existe en la base de datos.</t>
  </si>
  <si>
    <t>PY-02</t>
  </si>
  <si>
    <t>Consultar solicitudes</t>
  </si>
  <si>
    <t>Existen al menos 3 solicitudes.</t>
  </si>
  <si>
    <t>1. GET /solicitudes.
2. GET /solicitudes/{id}.</t>
  </si>
  <si>
    <t>200 con la lista y con el detalle. Un id inexistente responde 404 con mensaje claro.</t>
  </si>
  <si>
    <t>PY-03</t>
  </si>
  <si>
    <t>Actualizar solicitud</t>
  </si>
  <si>
    <t>Solicitud en 'Pendiente'.</t>
  </si>
  <si>
    <t>1. PUT /solicitudes/{id} cambiando la dirección y el teléfono.</t>
  </si>
  <si>
    <t>200 con los datos actualizados; la fecha de modificación cambia.</t>
  </si>
  <si>
    <t>PY-04</t>
  </si>
  <si>
    <t>Eliminar solicitud</t>
  </si>
  <si>
    <t>Solicitud en 'Pendiente' o 'Rechazada'.</t>
  </si>
  <si>
    <t>1. DELETE /solicitudes/{id}.
2. GET /solicitudes/{id}.</t>
  </si>
  <si>
    <t>DELETE responde 204; el GET posterior responde 404.</t>
  </si>
  <si>
    <t>PV-01</t>
  </si>
  <si>
    <t>NIT con dígito de verificación inválido</t>
  </si>
  <si>
    <t>Servicio en ejecución.</t>
  </si>
  <si>
    <t>1. POST /solicitudes con NIT 900123456-1 (DV correcto = 8).</t>
  </si>
  <si>
    <t>Respuesta 422 con el detalle 'Dígito de verificación del NIT inválido'. No se guarda nada.</t>
  </si>
  <si>
    <t>PV-02</t>
  </si>
  <si>
    <t>NIT duplicado</t>
  </si>
  <si>
    <t>Ya existe una solicitud con NIT 900123456-8.</t>
  </si>
  <si>
    <t>1. POST /solicitudes con el mismo NIT.</t>
  </si>
  <si>
    <t>Respuesta 409 'Ya existe una cocina con ese NIT'. El error de integridad se captura con try/except, no aparece un error 500.</t>
  </si>
  <si>
    <t>PV-03</t>
  </si>
  <si>
    <t>Aprobar sin concepto sanitario vigente</t>
  </si>
  <si>
    <t>Solicitud cuyo concepto sanitario venció o es 'desfavorable'.</t>
  </si>
  <si>
    <t>1. POST /solicitudes/{id}/aprobar.</t>
  </si>
  <si>
    <t>Respuesta 409 'No se puede aprobar: concepto sanitario no vigente'. La cocina no se publica.</t>
  </si>
  <si>
    <t>PR-01</t>
  </si>
  <si>
    <t>Reporte con filtros combinados</t>
  </si>
  <si>
    <t>Media</t>
  </si>
  <si>
    <t>Hay solicitudes en distintos estados, localidades y fechas.</t>
  </si>
  <si>
    <t>1. GET /reportes/solicitudes?estado=Aprobada&amp;localidad=Chapinero&amp;desde=2026-10-01&amp;hasta=2026-10-31&amp;orden=fecha.</t>
  </si>
  <si>
    <t>Solo aparecen registros que cumplen todos los filtros, ordenados por fecha. Filtros vacíos devuelven todo.</t>
  </si>
  <si>
    <t>PR-02</t>
  </si>
  <si>
    <t>Exportar reporte a CSV, XLSX y PDF</t>
  </si>
  <si>
    <t>Reporte filtrado con al menos 5 filas.</t>
  </si>
  <si>
    <t>1. Pedir el reporte con formato=csv.
2. Repetir con formato=xlsx.
3. Repetir con formato=pdf.</t>
  </si>
  <si>
    <t>Se descargan los 3 archivos, abren sin error y contienen las mismas filas que la vista en pantalla.</t>
  </si>
  <si>
    <t>PA-01</t>
  </si>
  <si>
    <t>El servicio inicia sin errores</t>
  </si>
  <si>
    <t>Entorno virtual con requirements instalados y .env configurado.</t>
  </si>
  <si>
    <t>1. Ejecutar uvicorn app.main:app --port 8000.
2. Abrir /docs.</t>
  </si>
  <si>
    <t>El servicio arranca sin trazas de error y Swagger muestra todos los endpoints.</t>
  </si>
  <si>
    <t>IA-01</t>
  </si>
  <si>
    <t>Consultar el estado real del pedido</t>
  </si>
  <si>
    <t>Cliente con un pedido 'En camino'. Ollama en :11434 con qwen3:4b.</t>
  </si>
  <si>
    <t>1. Abrir el asistente.
2. Escribir '¿dónde está mi pedido?'.</t>
  </si>
  <si>
    <t>Responde con el estado real ('En camino'), el repartidor asignado y la hora del último cambio, tomados de la base de datos.</t>
  </si>
  <si>
    <t>IA-02</t>
  </si>
  <si>
    <t>Recomendación con datos reales</t>
  </si>
  <si>
    <t>Cocinas activas con platos marcados 'Balanceado'.</t>
  </si>
  <si>
    <t>1. Escribir 'recomiéndame algo balanceado por menos de 25.000'.</t>
  </si>
  <si>
    <t>Sugiere solo platos que existen, están disponibles y cumplen el precio; no inventa platos ni precios.</t>
  </si>
  <si>
    <t>IA-03</t>
  </si>
  <si>
    <t>Modo básico si Ollama está caído</t>
  </si>
  <si>
    <t>Negativo / resiliencia</t>
  </si>
  <si>
    <t>Detener el servicio de Ollama.</t>
  </si>
  <si>
    <t>1. Escribir '¿dónde está mi pedido?'.
2. Escribir 'hola'.</t>
  </si>
  <si>
    <t>El asistente avisa que está en modo básico y aun así responde el estado del pedido con reglas; no muestra un error 500.</t>
  </si>
  <si>
    <t>MA-01</t>
  </si>
  <si>
    <t>Ruta dibujada en el mapa</t>
  </si>
  <si>
    <t>Pedido 'En camino' con coordenadas de cocina y de entrega. API key de OpenRouteService configurada.</t>
  </si>
  <si>
    <t>1. Como cliente abrir el rastreo del pedido.</t>
  </si>
  <si>
    <t>El mapa Leaflet muestra la ruta de la cocina al destino, la distancia y el tiempo estimado.</t>
  </si>
  <si>
    <t>MA-02</t>
  </si>
  <si>
    <t>Marcador del repartidor en movimiento</t>
  </si>
  <si>
    <t>Pedido 'En camino' (modo demostración activo o repartidor enviando ubicación).</t>
  </si>
  <si>
    <t>1. Mantener abierto el rastreo 1 minuto.</t>
  </si>
  <si>
    <t>El marcador del repartidor avanza sobre la ruta sin recargar la página; al entregar desaparece y el estado cambia a 'Entregado'.</t>
  </si>
  <si>
    <t>MA-03</t>
  </si>
  <si>
    <t>Sin servicio de rutas</t>
  </si>
  <si>
    <t>API key de OpenRouteService inválida o sin internet.</t>
  </si>
  <si>
    <t>1. Abrir el rastreo de un pedido 'En camino'.</t>
  </si>
  <si>
    <t>Se muestran los marcadores de origen y destino con una línea recta y el aviso 'Ruta aproximada'; la página no se rompe.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</si>
</sst>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scheme val="minor"/>
    </font>
    <font>
      <b/>
      <sz val="14"/>
      <color rgb="FFA42828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42828"/>
      </patternFill>
    </fill>
    <fill>
      <patternFill patternType="solid">
        <fgColor rgb="FFFFFDF0"/>
      </patternFill>
    </fill>
    <fill>
      <patternFill patternType="solid">
        <fgColor rgb="FFF3F1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6" fillId="0" borderId="1" xfId="0" applyFont="1" applyBorder="1"/>
    <xf numFmtId="9" fontId="6" fillId="0" borderId="1" xfId="0" applyNumberFormat="1" applyFont="1" applyBorder="1"/>
    <xf numFmtId="0" fontId="7" fillId="4" borderId="1" xfId="0" applyFont="1" applyFill="1" applyBorder="1"/>
    <xf numFmtId="9" fontId="7" fillId="4" borderId="1" xfId="0" applyNumberFormat="1" applyFont="1" applyFill="1" applyBorder="1"/>
    <xf numFmtId="0" fontId="5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workbookViewId="0"/>
  </sheetViews>
  <sheetFormatPr baseColWidth="10" defaultColWidth="8.88671875" defaultRowHeight="14.4" x14ac:dyDescent="0.3"/>
  <cols>
    <col min="1" max="1" width="32" customWidth="1"/>
    <col min="2" max="7" width="13" customWidth="1"/>
  </cols>
  <sheetData>
    <row r="1" spans="1:7" ht="17.399999999999999" x14ac:dyDescent="0.3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 t="s">
        <v>8</v>
      </c>
      <c r="B4" s="3">
        <f>COUNTIF('Casos de prueba'!$B$5:$B$30,A4)</f>
        <v>6</v>
      </c>
      <c r="C4" s="3">
        <f>COUNTIFS('Casos de prueba'!$B$5:$B$30,A4,'Casos de prueba'!$J$5:$J$30,"Pasó")</f>
        <v>0</v>
      </c>
      <c r="D4" s="3">
        <f>COUNTIFS('Casos de prueba'!$B$5:$B$30,A4,'Casos de prueba'!$J$5:$J$30,"Falló")</f>
        <v>0</v>
      </c>
      <c r="E4" s="3">
        <f>COUNTIFS('Casos de prueba'!$B$5:$B$30,A4,'Casos de prueba'!$J$5:$J$30,"Bloqueado")</f>
        <v>0</v>
      </c>
      <c r="F4" s="3">
        <f t="shared" ref="F4:F11" si="0">B4-C4-D4-E4</f>
        <v>6</v>
      </c>
      <c r="G4" s="4">
        <f t="shared" ref="G4:G12" si="1">IF(B4=0,0,C4/B4)</f>
        <v>0</v>
      </c>
    </row>
    <row r="5" spans="1:7" x14ac:dyDescent="0.3">
      <c r="A5" s="3" t="s">
        <v>9</v>
      </c>
      <c r="B5" s="3">
        <f>COUNTIF('Casos de prueba'!$B$5:$B$30,A5)</f>
        <v>4</v>
      </c>
      <c r="C5" s="3">
        <f>COUNTIFS('Casos de prueba'!$B$5:$B$30,A5,'Casos de prueba'!$J$5:$J$30,"Pasó")</f>
        <v>0</v>
      </c>
      <c r="D5" s="3">
        <f>COUNTIFS('Casos de prueba'!$B$5:$B$30,A5,'Casos de prueba'!$J$5:$J$30,"Falló")</f>
        <v>0</v>
      </c>
      <c r="E5" s="3">
        <f>COUNTIFS('Casos de prueba'!$B$5:$B$30,A5,'Casos de prueba'!$J$5:$J$30,"Bloqueado")</f>
        <v>0</v>
      </c>
      <c r="F5" s="3">
        <f t="shared" si="0"/>
        <v>4</v>
      </c>
      <c r="G5" s="4">
        <f t="shared" si="1"/>
        <v>0</v>
      </c>
    </row>
    <row r="6" spans="1:7" x14ac:dyDescent="0.3">
      <c r="A6" s="3" t="s">
        <v>10</v>
      </c>
      <c r="B6" s="3">
        <f>COUNTIF('Casos de prueba'!$B$5:$B$30,A6)</f>
        <v>4</v>
      </c>
      <c r="C6" s="3">
        <f>COUNTIFS('Casos de prueba'!$B$5:$B$30,A6,'Casos de prueba'!$J$5:$J$30,"Pasó")</f>
        <v>0</v>
      </c>
      <c r="D6" s="3">
        <f>COUNTIFS('Casos de prueba'!$B$5:$B$30,A6,'Casos de prueba'!$J$5:$J$30,"Falló")</f>
        <v>0</v>
      </c>
      <c r="E6" s="3">
        <f>COUNTIFS('Casos de prueba'!$B$5:$B$30,A6,'Casos de prueba'!$J$5:$J$30,"Bloqueado")</f>
        <v>0</v>
      </c>
      <c r="F6" s="3">
        <f t="shared" si="0"/>
        <v>4</v>
      </c>
      <c r="G6" s="4">
        <f t="shared" si="1"/>
        <v>0</v>
      </c>
    </row>
    <row r="7" spans="1:7" x14ac:dyDescent="0.3">
      <c r="A7" s="3" t="s">
        <v>11</v>
      </c>
      <c r="B7" s="3">
        <f>COUNTIF('Casos de prueba'!$B$5:$B$30,A7)</f>
        <v>3</v>
      </c>
      <c r="C7" s="3">
        <f>COUNTIFS('Casos de prueba'!$B$5:$B$30,A7,'Casos de prueba'!$J$5:$J$30,"Pasó")</f>
        <v>0</v>
      </c>
      <c r="D7" s="3">
        <f>COUNTIFS('Casos de prueba'!$B$5:$B$30,A7,'Casos de prueba'!$J$5:$J$30,"Falló")</f>
        <v>0</v>
      </c>
      <c r="E7" s="3">
        <f>COUNTIFS('Casos de prueba'!$B$5:$B$30,A7,'Casos de prueba'!$J$5:$J$30,"Bloqueado")</f>
        <v>0</v>
      </c>
      <c r="F7" s="3">
        <f t="shared" si="0"/>
        <v>3</v>
      </c>
      <c r="G7" s="4">
        <f t="shared" si="1"/>
        <v>0</v>
      </c>
    </row>
    <row r="8" spans="1:7" x14ac:dyDescent="0.3">
      <c r="A8" s="3" t="s">
        <v>12</v>
      </c>
      <c r="B8" s="3">
        <f>COUNTIF('Casos de prueba'!$B$5:$B$30,A8)</f>
        <v>2</v>
      </c>
      <c r="C8" s="3">
        <f>COUNTIFS('Casos de prueba'!$B$5:$B$30,A8,'Casos de prueba'!$J$5:$J$30,"Pasó")</f>
        <v>0</v>
      </c>
      <c r="D8" s="3">
        <f>COUNTIFS('Casos de prueba'!$B$5:$B$30,A8,'Casos de prueba'!$J$5:$J$30,"Falló")</f>
        <v>0</v>
      </c>
      <c r="E8" s="3">
        <f>COUNTIFS('Casos de prueba'!$B$5:$B$30,A8,'Casos de prueba'!$J$5:$J$30,"Bloqueado")</f>
        <v>0</v>
      </c>
      <c r="F8" s="3">
        <f t="shared" si="0"/>
        <v>2</v>
      </c>
      <c r="G8" s="4">
        <f t="shared" si="1"/>
        <v>0</v>
      </c>
    </row>
    <row r="9" spans="1:7" x14ac:dyDescent="0.3">
      <c r="A9" s="3" t="s">
        <v>13</v>
      </c>
      <c r="B9" s="3">
        <f>COUNTIF('Casos de prueba'!$B$5:$B$30,A9)</f>
        <v>1</v>
      </c>
      <c r="C9" s="3">
        <f>COUNTIFS('Casos de prueba'!$B$5:$B$30,A9,'Casos de prueba'!$J$5:$J$30,"Pasó")</f>
        <v>0</v>
      </c>
      <c r="D9" s="3">
        <f>COUNTIFS('Casos de prueba'!$B$5:$B$30,A9,'Casos de prueba'!$J$5:$J$30,"Falló")</f>
        <v>0</v>
      </c>
      <c r="E9" s="3">
        <f>COUNTIFS('Casos de prueba'!$B$5:$B$30,A9,'Casos de prueba'!$J$5:$J$30,"Bloqueado")</f>
        <v>0</v>
      </c>
      <c r="F9" s="3">
        <f t="shared" si="0"/>
        <v>1</v>
      </c>
      <c r="G9" s="4">
        <f t="shared" si="1"/>
        <v>0</v>
      </c>
    </row>
    <row r="10" spans="1:7" x14ac:dyDescent="0.3">
      <c r="A10" s="3" t="s">
        <v>14</v>
      </c>
      <c r="B10" s="3">
        <f>COUNTIF('Casos de prueba'!$B$5:$B$30,A10)</f>
        <v>3</v>
      </c>
      <c r="C10" s="3">
        <f>COUNTIFS('Casos de prueba'!$B$5:$B$30,A10,'Casos de prueba'!$J$5:$J$30,"Pasó")</f>
        <v>0</v>
      </c>
      <c r="D10" s="3">
        <f>COUNTIFS('Casos de prueba'!$B$5:$B$30,A10,'Casos de prueba'!$J$5:$J$30,"Falló")</f>
        <v>0</v>
      </c>
      <c r="E10" s="3">
        <f>COUNTIFS('Casos de prueba'!$B$5:$B$30,A10,'Casos de prueba'!$J$5:$J$30,"Bloqueado")</f>
        <v>0</v>
      </c>
      <c r="F10" s="3">
        <f t="shared" si="0"/>
        <v>3</v>
      </c>
      <c r="G10" s="4">
        <f t="shared" si="1"/>
        <v>0</v>
      </c>
    </row>
    <row r="11" spans="1:7" x14ac:dyDescent="0.3">
      <c r="A11" s="3" t="s">
        <v>15</v>
      </c>
      <c r="B11" s="3">
        <f>COUNTIF('Casos de prueba'!$B$5:$B$30,A11)</f>
        <v>3</v>
      </c>
      <c r="C11" s="3">
        <f>COUNTIFS('Casos de prueba'!$B$5:$B$30,A11,'Casos de prueba'!$J$5:$J$30,"Pasó")</f>
        <v>0</v>
      </c>
      <c r="D11" s="3">
        <f>COUNTIFS('Casos de prueba'!$B$5:$B$30,A11,'Casos de prueba'!$J$5:$J$30,"Falló")</f>
        <v>0</v>
      </c>
      <c r="E11" s="3">
        <f>COUNTIFS('Casos de prueba'!$B$5:$B$30,A11,'Casos de prueba'!$J$5:$J$30,"Bloqueado")</f>
        <v>0</v>
      </c>
      <c r="F11" s="3">
        <f t="shared" si="0"/>
        <v>3</v>
      </c>
      <c r="G11" s="4">
        <f t="shared" si="1"/>
        <v>0</v>
      </c>
    </row>
    <row r="12" spans="1:7" x14ac:dyDescent="0.3">
      <c r="A12" s="5" t="s">
        <v>16</v>
      </c>
      <c r="B12" s="5">
        <f>SUM(B4:B11)</f>
        <v>26</v>
      </c>
      <c r="C12" s="5">
        <f>SUM(C4:C11)</f>
        <v>0</v>
      </c>
      <c r="D12" s="5">
        <f>SUM(D4:D11)</f>
        <v>0</v>
      </c>
      <c r="E12" s="5">
        <f>SUM(E4:E11)</f>
        <v>0</v>
      </c>
      <c r="F12" s="5">
        <f>SUM(F4:F11)</f>
        <v>26</v>
      </c>
      <c r="G12" s="6">
        <f t="shared" si="1"/>
        <v>0</v>
      </c>
    </row>
    <row r="14" spans="1:7" x14ac:dyDescent="0.3">
      <c r="A14" s="7" t="s">
        <v>17</v>
      </c>
    </row>
    <row r="15" spans="1:7" x14ac:dyDescent="0.3">
      <c r="A15" s="7" t="s">
        <v>18</v>
      </c>
    </row>
    <row r="16" spans="1:7" x14ac:dyDescent="0.3">
      <c r="A16" s="7" t="s">
        <v>19</v>
      </c>
    </row>
    <row r="17" spans="1:1" x14ac:dyDescent="0.3">
      <c r="A17" s="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" customWidth="1"/>
    <col min="2" max="2" width="20" customWidth="1"/>
    <col min="3" max="3" width="28" customWidth="1"/>
    <col min="4" max="4" width="14" customWidth="1"/>
    <col min="5" max="5" width="10" customWidth="1"/>
    <col min="6" max="6" width="34" customWidth="1"/>
    <col min="7" max="8" width="44" customWidth="1"/>
    <col min="9" max="9" width="32" customWidth="1"/>
    <col min="10" max="10" width="12" customWidth="1"/>
    <col min="11" max="11" width="24" customWidth="1"/>
    <col min="12" max="12" width="30" customWidth="1"/>
    <col min="13" max="13" width="16" customWidth="1"/>
    <col min="14" max="14" width="13" customWidth="1"/>
  </cols>
  <sheetData>
    <row r="1" spans="1:14" ht="17.399999999999999" x14ac:dyDescent="0.3">
      <c r="A1" s="1" t="s">
        <v>21</v>
      </c>
    </row>
    <row r="2" spans="1:14" x14ac:dyDescent="0.3">
      <c r="A2" s="8" t="s">
        <v>22</v>
      </c>
    </row>
    <row r="4" spans="1:14" ht="26.4" x14ac:dyDescent="0.3">
      <c r="A4" s="9" t="s">
        <v>23</v>
      </c>
      <c r="B4" s="9" t="s">
        <v>1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</row>
    <row r="5" spans="1:14" ht="45.6" x14ac:dyDescent="0.3">
      <c r="A5" s="10" t="s">
        <v>36</v>
      </c>
      <c r="B5" s="11" t="s">
        <v>8</v>
      </c>
      <c r="C5" s="11" t="s">
        <v>37</v>
      </c>
      <c r="D5" s="11" t="s">
        <v>38</v>
      </c>
      <c r="E5" s="11" t="s">
        <v>39</v>
      </c>
      <c r="F5" s="11" t="s">
        <v>40</v>
      </c>
      <c r="G5" s="11" t="s">
        <v>41</v>
      </c>
      <c r="H5" s="11" t="s">
        <v>42</v>
      </c>
      <c r="I5" s="12"/>
      <c r="J5" s="12"/>
      <c r="K5" s="12"/>
      <c r="L5" s="12"/>
      <c r="M5" s="12"/>
      <c r="N5" s="13"/>
    </row>
    <row r="6" spans="1:14" ht="34.200000000000003" x14ac:dyDescent="0.3">
      <c r="A6" s="10" t="s">
        <v>43</v>
      </c>
      <c r="B6" s="11" t="s">
        <v>8</v>
      </c>
      <c r="C6" s="11" t="s">
        <v>44</v>
      </c>
      <c r="D6" s="11" t="s">
        <v>38</v>
      </c>
      <c r="E6" s="11" t="s">
        <v>39</v>
      </c>
      <c r="F6" s="11" t="s">
        <v>45</v>
      </c>
      <c r="G6" s="11" t="s">
        <v>46</v>
      </c>
      <c r="H6" s="11" t="s">
        <v>47</v>
      </c>
      <c r="I6" s="12"/>
      <c r="J6" s="12"/>
      <c r="K6" s="12"/>
      <c r="L6" s="12"/>
      <c r="M6" s="12"/>
      <c r="N6" s="13"/>
    </row>
    <row r="7" spans="1:14" ht="22.8" x14ac:dyDescent="0.3">
      <c r="A7" s="10" t="s">
        <v>48</v>
      </c>
      <c r="B7" s="11" t="s">
        <v>8</v>
      </c>
      <c r="C7" s="11" t="s">
        <v>49</v>
      </c>
      <c r="D7" s="11" t="s">
        <v>38</v>
      </c>
      <c r="E7" s="11" t="s">
        <v>39</v>
      </c>
      <c r="F7" s="11" t="s">
        <v>50</v>
      </c>
      <c r="G7" s="11" t="s">
        <v>51</v>
      </c>
      <c r="H7" s="11" t="s">
        <v>52</v>
      </c>
      <c r="I7" s="12"/>
      <c r="J7" s="12"/>
      <c r="K7" s="12"/>
      <c r="L7" s="12"/>
      <c r="M7" s="12"/>
      <c r="N7" s="13"/>
    </row>
    <row r="8" spans="1:14" ht="34.200000000000003" x14ac:dyDescent="0.3">
      <c r="A8" s="10" t="s">
        <v>53</v>
      </c>
      <c r="B8" s="11" t="s">
        <v>8</v>
      </c>
      <c r="C8" s="11" t="s">
        <v>54</v>
      </c>
      <c r="D8" s="11" t="s">
        <v>38</v>
      </c>
      <c r="E8" s="11" t="s">
        <v>39</v>
      </c>
      <c r="F8" s="11" t="s">
        <v>55</v>
      </c>
      <c r="G8" s="11" t="s">
        <v>56</v>
      </c>
      <c r="H8" s="11" t="s">
        <v>57</v>
      </c>
      <c r="I8" s="12"/>
      <c r="J8" s="12"/>
      <c r="K8" s="12"/>
      <c r="L8" s="12"/>
      <c r="M8" s="12"/>
      <c r="N8" s="13"/>
    </row>
    <row r="9" spans="1:14" ht="22.8" x14ac:dyDescent="0.3">
      <c r="A9" s="10" t="s">
        <v>58</v>
      </c>
      <c r="B9" s="11" t="s">
        <v>8</v>
      </c>
      <c r="C9" s="11" t="s">
        <v>59</v>
      </c>
      <c r="D9" s="11" t="s">
        <v>38</v>
      </c>
      <c r="E9" s="11" t="s">
        <v>39</v>
      </c>
      <c r="F9" s="11" t="s">
        <v>60</v>
      </c>
      <c r="G9" s="11" t="s">
        <v>61</v>
      </c>
      <c r="H9" s="11" t="s">
        <v>62</v>
      </c>
      <c r="I9" s="12"/>
      <c r="J9" s="12"/>
      <c r="K9" s="12"/>
      <c r="L9" s="12"/>
      <c r="M9" s="12"/>
      <c r="N9" s="13"/>
    </row>
    <row r="10" spans="1:14" ht="22.8" x14ac:dyDescent="0.3">
      <c r="A10" s="10" t="s">
        <v>63</v>
      </c>
      <c r="B10" s="11" t="s">
        <v>8</v>
      </c>
      <c r="C10" s="11" t="s">
        <v>64</v>
      </c>
      <c r="D10" s="11" t="s">
        <v>38</v>
      </c>
      <c r="E10" s="11" t="s">
        <v>39</v>
      </c>
      <c r="F10" s="11" t="s">
        <v>65</v>
      </c>
      <c r="G10" s="11" t="s">
        <v>66</v>
      </c>
      <c r="H10" s="11" t="s">
        <v>67</v>
      </c>
      <c r="I10" s="12"/>
      <c r="J10" s="12"/>
      <c r="K10" s="12"/>
      <c r="L10" s="12"/>
      <c r="M10" s="12"/>
      <c r="N10" s="13"/>
    </row>
    <row r="11" spans="1:14" ht="45.6" x14ac:dyDescent="0.3">
      <c r="A11" s="10" t="s">
        <v>68</v>
      </c>
      <c r="B11" s="11" t="s">
        <v>9</v>
      </c>
      <c r="C11" s="11" t="s">
        <v>69</v>
      </c>
      <c r="D11" s="11" t="s">
        <v>70</v>
      </c>
      <c r="E11" s="11" t="s">
        <v>39</v>
      </c>
      <c r="F11" s="11" t="s">
        <v>71</v>
      </c>
      <c r="G11" s="11" t="s">
        <v>72</v>
      </c>
      <c r="H11" s="11" t="s">
        <v>73</v>
      </c>
      <c r="I11" s="12"/>
      <c r="J11" s="12"/>
      <c r="K11" s="12"/>
      <c r="L11" s="12"/>
      <c r="M11" s="12"/>
      <c r="N11" s="13"/>
    </row>
    <row r="12" spans="1:14" ht="34.200000000000003" x14ac:dyDescent="0.3">
      <c r="A12" s="10" t="s">
        <v>74</v>
      </c>
      <c r="B12" s="11" t="s">
        <v>9</v>
      </c>
      <c r="C12" s="11" t="s">
        <v>75</v>
      </c>
      <c r="D12" s="11" t="s">
        <v>76</v>
      </c>
      <c r="E12" s="11" t="s">
        <v>39</v>
      </c>
      <c r="F12" s="11" t="s">
        <v>77</v>
      </c>
      <c r="G12" s="11" t="s">
        <v>78</v>
      </c>
      <c r="H12" s="11" t="s">
        <v>79</v>
      </c>
      <c r="I12" s="12"/>
      <c r="J12" s="12"/>
      <c r="K12" s="12"/>
      <c r="L12" s="12"/>
      <c r="M12" s="12"/>
      <c r="N12" s="13"/>
    </row>
    <row r="13" spans="1:14" ht="22.8" x14ac:dyDescent="0.3">
      <c r="A13" s="10" t="s">
        <v>80</v>
      </c>
      <c r="B13" s="11" t="s">
        <v>9</v>
      </c>
      <c r="C13" s="11" t="s">
        <v>81</v>
      </c>
      <c r="D13" s="11" t="s">
        <v>70</v>
      </c>
      <c r="E13" s="11" t="s">
        <v>39</v>
      </c>
      <c r="F13" s="11" t="s">
        <v>82</v>
      </c>
      <c r="G13" s="11" t="s">
        <v>83</v>
      </c>
      <c r="H13" s="11" t="s">
        <v>84</v>
      </c>
      <c r="I13" s="12"/>
      <c r="J13" s="12"/>
      <c r="K13" s="12"/>
      <c r="L13" s="12"/>
      <c r="M13" s="12"/>
      <c r="N13" s="13"/>
    </row>
    <row r="14" spans="1:14" ht="34.200000000000003" x14ac:dyDescent="0.3">
      <c r="A14" s="10" t="s">
        <v>85</v>
      </c>
      <c r="B14" s="11" t="s">
        <v>9</v>
      </c>
      <c r="C14" s="11" t="s">
        <v>86</v>
      </c>
      <c r="D14" s="11" t="s">
        <v>70</v>
      </c>
      <c r="E14" s="11" t="s">
        <v>39</v>
      </c>
      <c r="F14" s="11" t="s">
        <v>87</v>
      </c>
      <c r="G14" s="11" t="s">
        <v>88</v>
      </c>
      <c r="H14" s="11" t="s">
        <v>89</v>
      </c>
      <c r="I14" s="12"/>
      <c r="J14" s="12"/>
      <c r="K14" s="12"/>
      <c r="L14" s="12"/>
      <c r="M14" s="12"/>
      <c r="N14" s="13"/>
    </row>
    <row r="15" spans="1:14" ht="34.200000000000003" x14ac:dyDescent="0.3">
      <c r="A15" s="10" t="s">
        <v>90</v>
      </c>
      <c r="B15" s="11" t="s">
        <v>10</v>
      </c>
      <c r="C15" s="11" t="s">
        <v>91</v>
      </c>
      <c r="D15" s="11" t="s">
        <v>38</v>
      </c>
      <c r="E15" s="11" t="s">
        <v>39</v>
      </c>
      <c r="F15" s="11" t="s">
        <v>92</v>
      </c>
      <c r="G15" s="11" t="s">
        <v>93</v>
      </c>
      <c r="H15" s="11" t="s">
        <v>94</v>
      </c>
      <c r="I15" s="12"/>
      <c r="J15" s="12"/>
      <c r="K15" s="12"/>
      <c r="L15" s="12"/>
      <c r="M15" s="12"/>
      <c r="N15" s="13"/>
    </row>
    <row r="16" spans="1:14" ht="22.8" x14ac:dyDescent="0.3">
      <c r="A16" s="10" t="s">
        <v>95</v>
      </c>
      <c r="B16" s="11" t="s">
        <v>10</v>
      </c>
      <c r="C16" s="11" t="s">
        <v>96</v>
      </c>
      <c r="D16" s="11" t="s">
        <v>38</v>
      </c>
      <c r="E16" s="11" t="s">
        <v>39</v>
      </c>
      <c r="F16" s="11" t="s">
        <v>97</v>
      </c>
      <c r="G16" s="11" t="s">
        <v>98</v>
      </c>
      <c r="H16" s="11" t="s">
        <v>99</v>
      </c>
      <c r="I16" s="12"/>
      <c r="J16" s="12"/>
      <c r="K16" s="12"/>
      <c r="L16" s="12"/>
      <c r="M16" s="12"/>
      <c r="N16" s="13"/>
    </row>
    <row r="17" spans="1:14" ht="22.8" x14ac:dyDescent="0.3">
      <c r="A17" s="10" t="s">
        <v>100</v>
      </c>
      <c r="B17" s="11" t="s">
        <v>10</v>
      </c>
      <c r="C17" s="11" t="s">
        <v>101</v>
      </c>
      <c r="D17" s="11" t="s">
        <v>38</v>
      </c>
      <c r="E17" s="11" t="s">
        <v>39</v>
      </c>
      <c r="F17" s="11" t="s">
        <v>102</v>
      </c>
      <c r="G17" s="11" t="s">
        <v>103</v>
      </c>
      <c r="H17" s="11" t="s">
        <v>104</v>
      </c>
      <c r="I17" s="12"/>
      <c r="J17" s="12"/>
      <c r="K17" s="12"/>
      <c r="L17" s="12"/>
      <c r="M17" s="12"/>
      <c r="N17" s="13"/>
    </row>
    <row r="18" spans="1:14" ht="22.8" x14ac:dyDescent="0.3">
      <c r="A18" s="10" t="s">
        <v>105</v>
      </c>
      <c r="B18" s="11" t="s">
        <v>10</v>
      </c>
      <c r="C18" s="11" t="s">
        <v>106</v>
      </c>
      <c r="D18" s="11" t="s">
        <v>38</v>
      </c>
      <c r="E18" s="11" t="s">
        <v>39</v>
      </c>
      <c r="F18" s="11" t="s">
        <v>107</v>
      </c>
      <c r="G18" s="11" t="s">
        <v>108</v>
      </c>
      <c r="H18" s="11" t="s">
        <v>109</v>
      </c>
      <c r="I18" s="12"/>
      <c r="J18" s="12"/>
      <c r="K18" s="12"/>
      <c r="L18" s="12"/>
      <c r="M18" s="12"/>
      <c r="N18" s="13"/>
    </row>
    <row r="19" spans="1:14" ht="22.8" x14ac:dyDescent="0.3">
      <c r="A19" s="10" t="s">
        <v>110</v>
      </c>
      <c r="B19" s="11" t="s">
        <v>11</v>
      </c>
      <c r="C19" s="11" t="s">
        <v>111</v>
      </c>
      <c r="D19" s="11" t="s">
        <v>70</v>
      </c>
      <c r="E19" s="11" t="s">
        <v>39</v>
      </c>
      <c r="F19" s="11" t="s">
        <v>112</v>
      </c>
      <c r="G19" s="11" t="s">
        <v>113</v>
      </c>
      <c r="H19" s="11" t="s">
        <v>114</v>
      </c>
      <c r="I19" s="12"/>
      <c r="J19" s="12"/>
      <c r="K19" s="12"/>
      <c r="L19" s="12"/>
      <c r="M19" s="12"/>
      <c r="N19" s="13"/>
    </row>
    <row r="20" spans="1:14" ht="34.200000000000003" x14ac:dyDescent="0.3">
      <c r="A20" s="10" t="s">
        <v>115</v>
      </c>
      <c r="B20" s="11" t="s">
        <v>11</v>
      </c>
      <c r="C20" s="11" t="s">
        <v>116</v>
      </c>
      <c r="D20" s="11" t="s">
        <v>70</v>
      </c>
      <c r="E20" s="11" t="s">
        <v>39</v>
      </c>
      <c r="F20" s="11" t="s">
        <v>117</v>
      </c>
      <c r="G20" s="11" t="s">
        <v>118</v>
      </c>
      <c r="H20" s="11" t="s">
        <v>119</v>
      </c>
      <c r="I20" s="12"/>
      <c r="J20" s="12"/>
      <c r="K20" s="12"/>
      <c r="L20" s="12"/>
      <c r="M20" s="12"/>
      <c r="N20" s="13"/>
    </row>
    <row r="21" spans="1:14" ht="22.8" x14ac:dyDescent="0.3">
      <c r="A21" s="10" t="s">
        <v>120</v>
      </c>
      <c r="B21" s="11" t="s">
        <v>11</v>
      </c>
      <c r="C21" s="11" t="s">
        <v>121</v>
      </c>
      <c r="D21" s="11" t="s">
        <v>70</v>
      </c>
      <c r="E21" s="11" t="s">
        <v>39</v>
      </c>
      <c r="F21" s="11" t="s">
        <v>122</v>
      </c>
      <c r="G21" s="11" t="s">
        <v>123</v>
      </c>
      <c r="H21" s="11" t="s">
        <v>124</v>
      </c>
      <c r="I21" s="12"/>
      <c r="J21" s="12"/>
      <c r="K21" s="12"/>
      <c r="L21" s="12"/>
      <c r="M21" s="12"/>
      <c r="N21" s="13"/>
    </row>
    <row r="22" spans="1:14" ht="34.200000000000003" x14ac:dyDescent="0.3">
      <c r="A22" s="10" t="s">
        <v>125</v>
      </c>
      <c r="B22" s="11" t="s">
        <v>12</v>
      </c>
      <c r="C22" s="11" t="s">
        <v>126</v>
      </c>
      <c r="D22" s="11" t="s">
        <v>38</v>
      </c>
      <c r="E22" s="11" t="s">
        <v>127</v>
      </c>
      <c r="F22" s="11" t="s">
        <v>128</v>
      </c>
      <c r="G22" s="11" t="s">
        <v>129</v>
      </c>
      <c r="H22" s="11" t="s">
        <v>130</v>
      </c>
      <c r="I22" s="12"/>
      <c r="J22" s="12"/>
      <c r="K22" s="12"/>
      <c r="L22" s="12"/>
      <c r="M22" s="12"/>
      <c r="N22" s="13"/>
    </row>
    <row r="23" spans="1:14" ht="34.200000000000003" x14ac:dyDescent="0.3">
      <c r="A23" s="10" t="s">
        <v>131</v>
      </c>
      <c r="B23" s="11" t="s">
        <v>12</v>
      </c>
      <c r="C23" s="11" t="s">
        <v>132</v>
      </c>
      <c r="D23" s="11" t="s">
        <v>38</v>
      </c>
      <c r="E23" s="11" t="s">
        <v>127</v>
      </c>
      <c r="F23" s="11" t="s">
        <v>133</v>
      </c>
      <c r="G23" s="11" t="s">
        <v>134</v>
      </c>
      <c r="H23" s="11" t="s">
        <v>135</v>
      </c>
      <c r="I23" s="12"/>
      <c r="J23" s="12"/>
      <c r="K23" s="12"/>
      <c r="L23" s="12"/>
      <c r="M23" s="12"/>
      <c r="N23" s="13"/>
    </row>
    <row r="24" spans="1:14" ht="22.8" x14ac:dyDescent="0.3">
      <c r="A24" s="10" t="s">
        <v>136</v>
      </c>
      <c r="B24" s="11" t="s">
        <v>13</v>
      </c>
      <c r="C24" s="11" t="s">
        <v>137</v>
      </c>
      <c r="D24" s="11" t="s">
        <v>38</v>
      </c>
      <c r="E24" s="11" t="s">
        <v>39</v>
      </c>
      <c r="F24" s="11" t="s">
        <v>138</v>
      </c>
      <c r="G24" s="11" t="s">
        <v>139</v>
      </c>
      <c r="H24" s="11" t="s">
        <v>140</v>
      </c>
      <c r="I24" s="12"/>
      <c r="J24" s="12"/>
      <c r="K24" s="12"/>
      <c r="L24" s="12"/>
      <c r="M24" s="12"/>
      <c r="N24" s="13"/>
    </row>
    <row r="25" spans="1:14" ht="34.200000000000003" x14ac:dyDescent="0.3">
      <c r="A25" s="10" t="s">
        <v>141</v>
      </c>
      <c r="B25" s="11" t="s">
        <v>14</v>
      </c>
      <c r="C25" s="11" t="s">
        <v>142</v>
      </c>
      <c r="D25" s="11" t="s">
        <v>38</v>
      </c>
      <c r="E25" s="11" t="s">
        <v>39</v>
      </c>
      <c r="F25" s="11" t="s">
        <v>143</v>
      </c>
      <c r="G25" s="11" t="s">
        <v>144</v>
      </c>
      <c r="H25" s="11" t="s">
        <v>145</v>
      </c>
      <c r="I25" s="12"/>
      <c r="J25" s="12"/>
      <c r="K25" s="12"/>
      <c r="L25" s="12"/>
      <c r="M25" s="12"/>
      <c r="N25" s="13"/>
    </row>
    <row r="26" spans="1:14" ht="22.8" x14ac:dyDescent="0.3">
      <c r="A26" s="10" t="s">
        <v>146</v>
      </c>
      <c r="B26" s="11" t="s">
        <v>14</v>
      </c>
      <c r="C26" s="11" t="s">
        <v>147</v>
      </c>
      <c r="D26" s="11" t="s">
        <v>38</v>
      </c>
      <c r="E26" s="11" t="s">
        <v>127</v>
      </c>
      <c r="F26" s="11" t="s">
        <v>148</v>
      </c>
      <c r="G26" s="11" t="s">
        <v>149</v>
      </c>
      <c r="H26" s="11" t="s">
        <v>150</v>
      </c>
      <c r="I26" s="12"/>
      <c r="J26" s="12"/>
      <c r="K26" s="12"/>
      <c r="L26" s="12"/>
      <c r="M26" s="12"/>
      <c r="N26" s="13"/>
    </row>
    <row r="27" spans="1:14" ht="34.200000000000003" x14ac:dyDescent="0.3">
      <c r="A27" s="10" t="s">
        <v>151</v>
      </c>
      <c r="B27" s="11" t="s">
        <v>14</v>
      </c>
      <c r="C27" s="11" t="s">
        <v>152</v>
      </c>
      <c r="D27" s="11" t="s">
        <v>153</v>
      </c>
      <c r="E27" s="11" t="s">
        <v>39</v>
      </c>
      <c r="F27" s="11" t="s">
        <v>154</v>
      </c>
      <c r="G27" s="11" t="s">
        <v>155</v>
      </c>
      <c r="H27" s="11" t="s">
        <v>156</v>
      </c>
      <c r="I27" s="12"/>
      <c r="J27" s="12"/>
      <c r="K27" s="12"/>
      <c r="L27" s="12"/>
      <c r="M27" s="12"/>
      <c r="N27" s="13"/>
    </row>
    <row r="28" spans="1:14" ht="34.200000000000003" x14ac:dyDescent="0.3">
      <c r="A28" s="10" t="s">
        <v>157</v>
      </c>
      <c r="B28" s="11" t="s">
        <v>15</v>
      </c>
      <c r="C28" s="11" t="s">
        <v>158</v>
      </c>
      <c r="D28" s="11" t="s">
        <v>38</v>
      </c>
      <c r="E28" s="11" t="s">
        <v>39</v>
      </c>
      <c r="F28" s="11" t="s">
        <v>159</v>
      </c>
      <c r="G28" s="11" t="s">
        <v>160</v>
      </c>
      <c r="H28" s="11" t="s">
        <v>161</v>
      </c>
      <c r="I28" s="12"/>
      <c r="J28" s="12"/>
      <c r="K28" s="12"/>
      <c r="L28" s="12"/>
      <c r="M28" s="12"/>
      <c r="N28" s="13"/>
    </row>
    <row r="29" spans="1:14" ht="34.200000000000003" x14ac:dyDescent="0.3">
      <c r="A29" s="10" t="s">
        <v>162</v>
      </c>
      <c r="B29" s="11" t="s">
        <v>15</v>
      </c>
      <c r="C29" s="11" t="s">
        <v>163</v>
      </c>
      <c r="D29" s="11" t="s">
        <v>38</v>
      </c>
      <c r="E29" s="11" t="s">
        <v>127</v>
      </c>
      <c r="F29" s="11" t="s">
        <v>164</v>
      </c>
      <c r="G29" s="11" t="s">
        <v>165</v>
      </c>
      <c r="H29" s="11" t="s">
        <v>166</v>
      </c>
      <c r="I29" s="12"/>
      <c r="J29" s="12"/>
      <c r="K29" s="12"/>
      <c r="L29" s="12"/>
      <c r="M29" s="12"/>
      <c r="N29" s="13"/>
    </row>
    <row r="30" spans="1:14" ht="34.200000000000003" x14ac:dyDescent="0.3">
      <c r="A30" s="10" t="s">
        <v>167</v>
      </c>
      <c r="B30" s="11" t="s">
        <v>15</v>
      </c>
      <c r="C30" s="11" t="s">
        <v>168</v>
      </c>
      <c r="D30" s="11" t="s">
        <v>153</v>
      </c>
      <c r="E30" s="11" t="s">
        <v>127</v>
      </c>
      <c r="F30" s="11" t="s">
        <v>169</v>
      </c>
      <c r="G30" s="11" t="s">
        <v>170</v>
      </c>
      <c r="H30" s="11" t="s">
        <v>171</v>
      </c>
      <c r="I30" s="12"/>
      <c r="J30" s="12"/>
      <c r="K30" s="12"/>
      <c r="L30" s="12"/>
      <c r="M30" s="12"/>
      <c r="N30" s="13"/>
    </row>
  </sheetData>
  <autoFilter ref="A4:N30" xr:uid="{00000000-0009-0000-0000-000001000000}"/>
  <conditionalFormatting sqref="J5:J30">
    <cfRule type="cellIs" dxfId="1" priority="1" operator="equal">
      <formula>"Pasó"</formula>
    </cfRule>
    <cfRule type="cellIs" dxfId="0" priority="2" operator="equal">
      <formula>"Falló"</formula>
    </cfRule>
  </conditionalFormatting>
  <dataValidations count="1">
    <dataValidation type="list" allowBlank="1" sqref="J5:J30" xr:uid="{00000000-0002-0000-0100-000000000000}">
      <formula1>"Pasó,Falló,Bloqueado,No ejecutado"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Vanegas</cp:lastModifiedBy>
  <dcterms:created xsi:type="dcterms:W3CDTF">2026-10-19T13:17:11Z</dcterms:created>
  <dcterms:modified xsi:type="dcterms:W3CDTF">2026-10-19T13:17:13Z</dcterms:modified>
</cp:coreProperties>
</file>